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01_核心指标" sheetId="2" state="visible" r:id="rId2"/>
    <sheet xmlns:r="http://schemas.openxmlformats.org/officeDocument/2006/relationships" name="02_资金使用诊断" sheetId="3" state="visible" r:id="rId3"/>
    <sheet xmlns:r="http://schemas.openxmlformats.org/officeDocument/2006/relationships" name="03_权益_纯碱" sheetId="4" state="visible" r:id="rId4"/>
    <sheet xmlns:r="http://schemas.openxmlformats.org/officeDocument/2006/relationships" name="04_权益_红枣" sheetId="5" state="visible" r:id="rId5"/>
    <sheet xmlns:r="http://schemas.openxmlformats.org/officeDocument/2006/relationships" name="05_权益_花生" sheetId="6" state="visible" r:id="rId6"/>
    <sheet xmlns:r="http://schemas.openxmlformats.org/officeDocument/2006/relationships" name="06_权益_烧碱" sheetId="7" state="visible" r:id="rId7"/>
    <sheet xmlns:r="http://schemas.openxmlformats.org/officeDocument/2006/relationships" name="07_逐笔_纯碱" sheetId="8" state="visible" r:id="rId8"/>
    <sheet xmlns:r="http://schemas.openxmlformats.org/officeDocument/2006/relationships" name="08_逐笔_红枣" sheetId="9" state="visible" r:id="rId9"/>
    <sheet xmlns:r="http://schemas.openxmlformats.org/officeDocument/2006/relationships" name="09_逐笔_花生" sheetId="10" state="visible" r:id="rId10"/>
    <sheet xmlns:r="http://schemas.openxmlformats.org/officeDocument/2006/relationships" name="10_逐笔_烧碱" sheetId="11" state="visible" r:id="rId11"/>
    <sheet xmlns:r="http://schemas.openxmlformats.org/officeDocument/2006/relationships" name="11_月度收益" sheetId="12" state="visible" r:id="rId12"/>
    <sheet xmlns:r="http://schemas.openxmlformats.org/officeDocument/2006/relationships" name="12_参数速查" sheetId="13" state="visible" r:id="rId13"/>
    <sheet xmlns:r="http://schemas.openxmlformats.org/officeDocument/2006/relationships" name="13_数据区间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+0.000"/>
    <numFmt numFmtId="166" formatCode="+0.0%"/>
    <numFmt numFmtId="167" formatCode="0.0"/>
    <numFmt numFmtId="168" formatCode="+0.0%;-0.0%"/>
  </numFmts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color rgb="007F7F7F"/>
      <sz val="9.5"/>
    </font>
    <font>
      <b val="1"/>
      <color rgb="001F4E79"/>
      <sz val="12"/>
    </font>
    <font>
      <sz val="10.5"/>
    </font>
    <font>
      <b val="1"/>
      <sz val="10.5"/>
    </font>
    <font>
      <b val="1"/>
      <color rgb="00FFFFFF"/>
      <sz val="10.5"/>
    </font>
    <font>
      <b val="1"/>
      <color rgb="001F4E79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7E0"/>
      </patternFill>
    </fill>
    <fill>
      <patternFill patternType="solid">
        <fgColor rgb="00FFF0D0"/>
      </patternFill>
    </fill>
    <fill>
      <patternFill patternType="solid">
        <fgColor rgb="00FBE3E3"/>
      </patternFill>
    </fill>
    <fill>
      <patternFill patternType="solid">
        <fgColor rgb="00E1F2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1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1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纯碱 权益曲线（本金 30 万 · D 方案 3%）</a:t>
            </a:r>
          </a:p>
        </rich>
      </tx>
    </title>
    <plotArea>
      <lineChart>
        <grouping val="standard"/>
        <ser>
          <idx val="0"/>
          <order val="0"/>
          <tx>
            <strRef>
              <f>'03_权益_纯碱'!B3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'03_权益_纯碱'!$A$4:$A$43</f>
            </numRef>
          </cat>
          <val>
            <numRef>
              <f>'03_权益_纯碱'!$B$4:$B$43</f>
            </numRef>
          </val>
        </ser>
        <ser>
          <idx val="1"/>
          <order val="1"/>
          <tx>
            <strRef>
              <f>'03_权益_纯碱'!C3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'03_权益_纯碱'!$A$4:$A$43</f>
            </numRef>
          </cat>
          <val>
            <numRef>
              <f>'03_权益_纯碱'!$C$4:$C$43</f>
            </numRef>
          </val>
        </ser>
        <ser>
          <idx val="2"/>
          <order val="2"/>
          <tx>
            <strRef>
              <f>'03_权益_纯碱'!D3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'03_权益_纯碱'!$A$4:$A$43</f>
            </numRef>
          </cat>
          <val>
            <numRef>
              <f>'03_权益_纯碱'!$D$4:$D$43</f>
            </numRef>
          </val>
        </ser>
        <ser>
          <idx val="3"/>
          <order val="3"/>
          <tx>
            <strRef>
              <f>'03_权益_纯碱'!E3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'03_权益_纯碱'!$A$4:$A$43</f>
            </numRef>
          </cat>
          <val>
            <numRef>
              <f>'03_权益_纯碱'!$E$4:$E$43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权益（元）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红枣 权益曲线（本金 30 万 · D 方案 3%）</a:t>
            </a:r>
          </a:p>
        </rich>
      </tx>
    </title>
    <plotArea>
      <lineChart>
        <grouping val="standard"/>
        <ser>
          <idx val="0"/>
          <order val="0"/>
          <tx>
            <strRef>
              <f>'04_权益_红枣'!B3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'04_权益_红枣'!$A$4:$A$19</f>
            </numRef>
          </cat>
          <val>
            <numRef>
              <f>'04_权益_红枣'!$B$4:$B$19</f>
            </numRef>
          </val>
        </ser>
        <ser>
          <idx val="1"/>
          <order val="1"/>
          <tx>
            <strRef>
              <f>'04_权益_红枣'!C3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'04_权益_红枣'!$A$4:$A$19</f>
            </numRef>
          </cat>
          <val>
            <numRef>
              <f>'04_权益_红枣'!$C$4:$C$19</f>
            </numRef>
          </val>
        </ser>
        <ser>
          <idx val="2"/>
          <order val="2"/>
          <tx>
            <strRef>
              <f>'04_权益_红枣'!D3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'04_权益_红枣'!$A$4:$A$19</f>
            </numRef>
          </cat>
          <val>
            <numRef>
              <f>'04_权益_红枣'!$D$4:$D$19</f>
            </numRef>
          </val>
        </ser>
        <ser>
          <idx val="3"/>
          <order val="3"/>
          <tx>
            <strRef>
              <f>'04_权益_红枣'!E3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'04_权益_红枣'!$A$4:$A$19</f>
            </numRef>
          </cat>
          <val>
            <numRef>
              <f>'04_权益_红枣'!$E$4:$E$19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权益（元）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花生 权益曲线（本金 30 万 · D 方案 3%）</a:t>
            </a:r>
          </a:p>
        </rich>
      </tx>
    </title>
    <plotArea>
      <lineChart>
        <grouping val="standard"/>
        <ser>
          <idx val="0"/>
          <order val="0"/>
          <tx>
            <strRef>
              <f>'05_权益_花生'!B3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'05_权益_花生'!$A$4:$A$43</f>
            </numRef>
          </cat>
          <val>
            <numRef>
              <f>'05_权益_花生'!$B$4:$B$43</f>
            </numRef>
          </val>
        </ser>
        <ser>
          <idx val="1"/>
          <order val="1"/>
          <tx>
            <strRef>
              <f>'05_权益_花生'!C3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'05_权益_花生'!$A$4:$A$43</f>
            </numRef>
          </cat>
          <val>
            <numRef>
              <f>'05_权益_花生'!$C$4:$C$43</f>
            </numRef>
          </val>
        </ser>
        <ser>
          <idx val="2"/>
          <order val="2"/>
          <tx>
            <strRef>
              <f>'05_权益_花生'!D3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'05_权益_花生'!$A$4:$A$43</f>
            </numRef>
          </cat>
          <val>
            <numRef>
              <f>'05_权益_花生'!$D$4:$D$43</f>
            </numRef>
          </val>
        </ser>
        <ser>
          <idx val="3"/>
          <order val="3"/>
          <tx>
            <strRef>
              <f>'05_权益_花生'!E3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'05_权益_花生'!$A$4:$A$43</f>
            </numRef>
          </cat>
          <val>
            <numRef>
              <f>'05_权益_花生'!$E$4:$E$43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权益（元）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烧碱 权益曲线（本金 30 万 · D 方案 3%）</a:t>
            </a:r>
          </a:p>
        </rich>
      </tx>
    </title>
    <plotArea>
      <lineChart>
        <grouping val="standard"/>
        <ser>
          <idx val="0"/>
          <order val="0"/>
          <tx>
            <strRef>
              <f>'06_权益_烧碱'!B3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'06_权益_烧碱'!$A$4:$A$41</f>
            </numRef>
          </cat>
          <val>
            <numRef>
              <f>'06_权益_烧碱'!$B$4:$B$41</f>
            </numRef>
          </val>
        </ser>
        <ser>
          <idx val="1"/>
          <order val="1"/>
          <tx>
            <strRef>
              <f>'06_权益_烧碱'!C3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'06_权益_烧碱'!$A$4:$A$41</f>
            </numRef>
          </cat>
          <val>
            <numRef>
              <f>'06_权益_烧碱'!$C$4:$C$41</f>
            </numRef>
          </val>
        </ser>
        <ser>
          <idx val="2"/>
          <order val="2"/>
          <tx>
            <strRef>
              <f>'06_权益_烧碱'!D3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'06_权益_烧碱'!$A$4:$A$41</f>
            </numRef>
          </cat>
          <val>
            <numRef>
              <f>'06_权益_烧碱'!$D$4:$D$41</f>
            </numRef>
          </val>
        </ser>
        <ser>
          <idx val="3"/>
          <order val="3"/>
          <tx>
            <strRef>
              <f>'06_权益_烧碱'!E3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'06_权益_烧碱'!$A$4:$A$41</f>
            </numRef>
          </cat>
          <val>
            <numRef>
              <f>'06_权益_烧碱'!$E$4:$E$41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权益（元）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90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90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90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90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20" customWidth="1" min="3" max="3"/>
    <col width="26" customWidth="1" min="4" max="4"/>
  </cols>
  <sheetData>
    <row r="1">
      <c r="A1" s="1" t="inlineStr">
        <is>
          <t>赢益共振 v9 · 60D 单品种独立版 —— 测试报告</t>
        </is>
      </c>
    </row>
    <row r="2">
      <c r="A2" s="2" t="inlineStr">
        <is>
          <t>生成 2026-10-11 · 只 D 方案（风险 3%）· 只 60 分钟 · 只 ★优选配置（零闸门 + 0.5 跳）· 每品种独立 30 万</t>
        </is>
      </c>
    </row>
    <row r="4">
      <c r="A4" s="3" t="inlineStr">
        <is>
          <t>一、本版范围（严格按指定口径，无其他方案/周期/配置）</t>
        </is>
      </c>
    </row>
    <row r="5">
      <c r="A5" s="4" t="inlineStr">
        <is>
          <t>· 仓位方案：D 固定比例风险 3%（单笔最大亏损 = 当时权益 × 3%）</t>
        </is>
      </c>
    </row>
    <row r="6">
      <c r="A6" s="4" t="inlineStr">
        <is>
          <t>· 周期：60 分钟（不再提供 15 / 30 / 日线）</t>
        </is>
      </c>
    </row>
    <row r="7">
      <c r="A7" s="4" t="inlineStr">
        <is>
          <t>· 信号配置：★优选 = 成本闸门 GATEW=0（关闭）+ 出场滑点 0.5 跳</t>
        </is>
      </c>
    </row>
    <row r="8">
      <c r="A8" s="4" t="inlineStr">
        <is>
          <t xml:space="preserve">   （不再提供旧默认 GATEW=0.30 / 保守 CON 两档）</t>
        </is>
      </c>
    </row>
    <row r="9">
      <c r="A9" s="4" t="inlineStr">
        <is>
          <t>· 资金：纯碱 30 万 / 红枣 30 万 / 花生 30 万 / 烧碱 30 万，四个独立账户，互不影响</t>
        </is>
      </c>
    </row>
    <row r="10">
      <c r="A10" s="4" t="inlineStr">
        <is>
          <t>· 均线参数 NMID=40 / 波动参数 NAV=14；手续费与保证金取自 GitHub 仓库快照</t>
        </is>
      </c>
    </row>
    <row r="12">
      <c r="A12" s="3" t="inlineStr">
        <is>
          <t>二、本次新增：让资金用得更合理</t>
        </is>
      </c>
    </row>
    <row r="13">
      <c r="A13" s="4" t="inlineStr">
        <is>
          <t>诊断发现问题：默认「单笔保证金占用上限 60%」把本该开出的仓位砍掉了 ——</t>
        </is>
      </c>
    </row>
    <row r="14">
      <c r="A14" s="4" t="inlineStr">
        <is>
          <t xml:space="preserve">   花生想按 3% 风险开 69 手，却因保证金上限只能开 42 手，实际风险只用到 2.00%（应为 3%）；</t>
        </is>
      </c>
    </row>
    <row r="15">
      <c r="A15" s="4" t="inlineStr">
        <is>
          <t xml:space="preserve">   纯碱/红枣/花生还多次撞上「单笔最大 50 手」的天花板。资金被闲置，风险预算没用足。</t>
        </is>
      </c>
    </row>
    <row r="17">
      <c r="A17" s="5" t="inlineStr">
        <is>
          <t>修正：在 D 方案框架内把资金参数改为</t>
        </is>
      </c>
    </row>
    <row r="18">
      <c r="A18" s="4" t="inlineStr">
        <is>
          <t xml:space="preserve">   保证金占用上限 MGTOT：60% → 80%（单笔最多占权益 80%，仍留 20% 缓冲）</t>
        </is>
      </c>
    </row>
    <row r="19">
      <c r="A19" s="4" t="inlineStr">
        <is>
          <t xml:space="preserve">   单笔最大手数 MAXLOT：50 → 100（仅解除不必要的天花板）</t>
        </is>
      </c>
    </row>
    <row r="21" ht="32" customHeight="1">
      <c r="A21" s="6" t="inlineStr">
        <is>
          <t>品种</t>
        </is>
      </c>
      <c r="B21" s="6" t="inlineStr">
        <is>
          <t>风险预算利用率 优化前 → 优化后</t>
        </is>
      </c>
      <c r="C21" s="6" t="inlineStr">
        <is>
          <t>被保证金压制的笔数</t>
        </is>
      </c>
      <c r="D21" s="6" t="inlineStr">
        <is>
          <t>收益率 优化前 → 优化后</t>
        </is>
      </c>
    </row>
    <row r="22">
      <c r="A22" s="7" t="inlineStr">
        <is>
          <t>纯碱</t>
        </is>
      </c>
      <c r="B22" s="8" t="inlineStr">
        <is>
          <t>88.7% → 97.5%</t>
        </is>
      </c>
      <c r="C22" s="8" t="inlineStr">
        <is>
          <t>12/22 → 2/22</t>
        </is>
      </c>
      <c r="D22" s="8" t="inlineStr">
        <is>
          <t>+44.5% → +47.5%</t>
        </is>
      </c>
    </row>
    <row r="23">
      <c r="A23" s="7" t="inlineStr">
        <is>
          <t>红枣</t>
        </is>
      </c>
      <c r="B23" s="8" t="inlineStr">
        <is>
          <t>87.8% → 95.8%</t>
        </is>
      </c>
      <c r="C23" s="8" t="inlineStr">
        <is>
          <t>3/8 → 2/8</t>
        </is>
      </c>
      <c r="D23" s="8" t="inlineStr">
        <is>
          <t>+13.9% → +16.2%</t>
        </is>
      </c>
    </row>
    <row r="24">
      <c r="A24" s="7" t="inlineStr">
        <is>
          <t>花生</t>
        </is>
      </c>
      <c r="B24" s="8" t="inlineStr">
        <is>
          <t>66.5% → 83.2%</t>
        </is>
      </c>
      <c r="C24" s="8" t="inlineStr">
        <is>
          <t>22/23 → 13/23</t>
        </is>
      </c>
      <c r="D24" s="8" t="inlineStr">
        <is>
          <t>+42.6% → +56.6%</t>
        </is>
      </c>
    </row>
    <row r="25">
      <c r="A25" s="7" t="inlineStr">
        <is>
          <t>烧碱</t>
        </is>
      </c>
      <c r="B25" s="8" t="inlineStr">
        <is>
          <t>93.0% → 97.3%</t>
        </is>
      </c>
      <c r="C25" s="8" t="inlineStr">
        <is>
          <t>4/20 → 1/20</t>
        </is>
      </c>
      <c r="D25" s="8" t="inlineStr">
        <is>
          <t>+29.4% → +28.9%</t>
        </is>
      </c>
    </row>
    <row r="27">
      <c r="A27" s="4" t="inlineStr">
        <is>
          <t>注意：优化提高的是「资金使用效率」，不是「更激进的赌注」——单笔风险预算始终是权益的 3%，只是让每笔真正按 3% 开足手数。</t>
        </is>
      </c>
    </row>
    <row r="28">
      <c r="A28" s="4" t="inlineStr">
        <is>
          <t>副作用：保证金占用峰值从约 60% 升到约 78%，回撤略增（见 01_核心指标）。</t>
        </is>
      </c>
    </row>
  </sheetData>
  <mergeCells count="18">
    <mergeCell ref="A1:J1"/>
    <mergeCell ref="A5:J5"/>
    <mergeCell ref="A8:J8"/>
    <mergeCell ref="A14:J14"/>
    <mergeCell ref="A6:J6"/>
    <mergeCell ref="A17:J17"/>
    <mergeCell ref="A9:J9"/>
    <mergeCell ref="A18:J18"/>
    <mergeCell ref="A27:J27"/>
    <mergeCell ref="A12:J12"/>
    <mergeCell ref="A4:J4"/>
    <mergeCell ref="A7:J7"/>
    <mergeCell ref="A15:J15"/>
    <mergeCell ref="A19:J19"/>
    <mergeCell ref="A2:J2"/>
    <mergeCell ref="A10:J10"/>
    <mergeCell ref="A28:J28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7" customWidth="1" min="4" max="4"/>
    <col width="8" customWidth="1" min="5" max="5"/>
    <col width="7" customWidth="1" min="6" max="6"/>
    <col width="8" customWidth="1" min="7" max="7"/>
    <col width="7" customWidth="1" min="8" max="8"/>
    <col width="7" customWidth="1" min="9" max="9"/>
    <col width="10" customWidth="1" min="10" max="10"/>
    <col width="12" customWidth="1" min="11" max="11"/>
    <col width="13" customWidth="1" min="12" max="12"/>
    <col width="10" customWidth="1" min="13" max="13"/>
    <col width="9" customWidth="1" min="14" max="14"/>
    <col width="12" customWidth="1" min="15" max="15"/>
    <col width="8" customWidth="1" min="16" max="16"/>
    <col width="8" customWidth="1" min="17" max="17"/>
  </cols>
  <sheetData>
    <row r="1">
      <c r="A1" s="9" t="inlineStr">
        <is>
          <t>四品种各自独立 30 万 · D 方案 3% · 60 分钟 ★优选</t>
        </is>
      </c>
    </row>
    <row r="2">
      <c r="A2" s="2" t="inlineStr">
        <is>
          <t>每行 = 一个品种的一个独立 30 万账户；优化前/后仅资金参数不同，信号完全相同</t>
        </is>
      </c>
    </row>
    <row r="3" ht="32" customHeight="1">
      <c r="A3" s="6" t="inlineStr">
        <is>
          <t>品种</t>
        </is>
      </c>
      <c r="B3" s="6" t="inlineStr">
        <is>
          <t>合约</t>
        </is>
      </c>
      <c r="C3" s="6" t="inlineStr">
        <is>
          <t>资金参数</t>
        </is>
      </c>
      <c r="D3" s="6" t="inlineStr">
        <is>
          <t>成交</t>
        </is>
      </c>
      <c r="E3" s="6" t="inlineStr">
        <is>
          <t>胜率</t>
        </is>
      </c>
      <c r="F3" s="6" t="inlineStr">
        <is>
          <t>PF</t>
        </is>
      </c>
      <c r="G3" s="6" t="inlineStr">
        <is>
          <t>期望R</t>
        </is>
      </c>
      <c r="H3" s="6" t="inlineStr">
        <is>
          <t>均手</t>
        </is>
      </c>
      <c r="I3" s="6" t="inlineStr">
        <is>
          <t>最大手</t>
        </is>
      </c>
      <c r="J3" s="6" t="inlineStr">
        <is>
          <t>实际风险%</t>
        </is>
      </c>
      <c r="K3" s="6" t="inlineStr">
        <is>
          <t>峰值保证金%</t>
        </is>
      </c>
      <c r="L3" s="6" t="inlineStr">
        <is>
          <t>终值(元)</t>
        </is>
      </c>
      <c r="M3" s="6" t="inlineStr">
        <is>
          <t>收益率</t>
        </is>
      </c>
      <c r="N3" s="6" t="inlineStr">
        <is>
          <t>年化</t>
        </is>
      </c>
      <c r="O3" s="6" t="inlineStr">
        <is>
          <t>含浮亏回撤%</t>
        </is>
      </c>
      <c r="P3" s="6" t="inlineStr">
        <is>
          <t>Calmar</t>
        </is>
      </c>
      <c r="Q3" s="6" t="inlineStr">
        <is>
          <t>Sharpe</t>
        </is>
      </c>
    </row>
    <row r="4">
      <c r="A4" s="10" t="inlineStr">
        <is>
          <t>纯碱</t>
        </is>
      </c>
      <c r="B4" s="11" t="inlineStr">
        <is>
          <t>SA2701</t>
        </is>
      </c>
      <c r="C4" s="11" t="inlineStr">
        <is>
          <t>优化前（保证金上限 60% / 单笔 50 手）</t>
        </is>
      </c>
      <c r="D4" s="12" t="n">
        <v>22</v>
      </c>
      <c r="E4" s="13" t="n">
        <v>0.7727272727272727</v>
      </c>
      <c r="F4" s="14" t="n">
        <v>3.949573738488984</v>
      </c>
      <c r="G4" s="15" t="n">
        <v>0.7747884604893559</v>
      </c>
      <c r="H4" s="14" t="n">
        <v>38</v>
      </c>
      <c r="I4" s="12" t="n">
        <v>50</v>
      </c>
      <c r="J4" s="16" t="n">
        <v>0.02661442277510175</v>
      </c>
      <c r="K4" s="13" t="n">
        <v>0.510219494473759</v>
      </c>
      <c r="L4" s="17" t="n">
        <v>433476.9861428572</v>
      </c>
      <c r="M4" s="18" t="n">
        <v>0.4449232871428574</v>
      </c>
      <c r="N4" s="18" t="n">
        <v>0.7344146093235576</v>
      </c>
      <c r="O4" s="16" t="n">
        <v>0.0566662512153805</v>
      </c>
      <c r="P4" s="14" t="n">
        <v>16.7223410287756</v>
      </c>
      <c r="Q4" s="14" t="n">
        <v>9.796462441913073</v>
      </c>
    </row>
    <row r="5">
      <c r="A5" s="19" t="inlineStr">
        <is>
          <t>纯碱</t>
        </is>
      </c>
      <c r="B5" s="20" t="inlineStr">
        <is>
          <t>SA2701</t>
        </is>
      </c>
      <c r="C5" s="20" t="inlineStr">
        <is>
          <t>★推荐（保证金上限 80% / 单笔 100 手）</t>
        </is>
      </c>
      <c r="D5" s="21" t="n">
        <v>22</v>
      </c>
      <c r="E5" s="22" t="n">
        <v>0.7727272727272727</v>
      </c>
      <c r="F5" s="23" t="n">
        <v>3.756922093677168</v>
      </c>
      <c r="G5" s="24" t="n">
        <v>0.7747884604893559</v>
      </c>
      <c r="H5" s="23" t="n">
        <v>42.63636363636363</v>
      </c>
      <c r="I5" s="21" t="n">
        <v>55</v>
      </c>
      <c r="J5" s="25" t="n">
        <v>0.02926000798189226</v>
      </c>
      <c r="K5" s="22" t="n">
        <v>0.7767336822121151</v>
      </c>
      <c r="L5" s="26" t="n">
        <v>442614.6152785716</v>
      </c>
      <c r="M5" s="27" t="n">
        <v>0.4753820509285718</v>
      </c>
      <c r="N5" s="27" t="n">
        <v>0.7894009582239052</v>
      </c>
      <c r="O5" s="25" t="n">
        <v>0.06159173345413631</v>
      </c>
      <c r="P5" s="23" t="n">
        <v>17.03777063158816</v>
      </c>
      <c r="Q5" s="23" t="n">
        <v>9.519382735145969</v>
      </c>
    </row>
    <row r="7">
      <c r="A7" s="10" t="inlineStr">
        <is>
          <t>红枣</t>
        </is>
      </c>
      <c r="B7" s="11" t="inlineStr">
        <is>
          <t>CJ2701</t>
        </is>
      </c>
      <c r="C7" s="11" t="inlineStr">
        <is>
          <t>优化前（保证金上限 60% / 单笔 50 手）</t>
        </is>
      </c>
      <c r="D7" s="12" t="n">
        <v>8</v>
      </c>
      <c r="E7" s="13" t="n">
        <v>0.75</v>
      </c>
      <c r="F7" s="14" t="n">
        <v>2.965086610369082</v>
      </c>
      <c r="G7" s="15" t="n">
        <v>0.8401473204628456</v>
      </c>
      <c r="H7" s="14" t="n">
        <v>20.75</v>
      </c>
      <c r="I7" s="12" t="n">
        <v>24</v>
      </c>
      <c r="J7" s="16" t="n">
        <v>0.02635205651713233</v>
      </c>
      <c r="K7" s="13" t="n">
        <v>0.5908107237611503</v>
      </c>
      <c r="L7" s="17" t="n">
        <v>341836.5535714286</v>
      </c>
      <c r="M7" s="18" t="n">
        <v>0.1394551785714286</v>
      </c>
      <c r="N7" s="18" t="n">
        <v>0.3708892800126495</v>
      </c>
      <c r="O7" s="16" t="n">
        <v>0.06269372101191639</v>
      </c>
      <c r="P7" s="14" t="n">
        <v>6.00184109111648</v>
      </c>
      <c r="Q7" s="14" t="n">
        <v>7.361806529790216</v>
      </c>
    </row>
    <row r="8">
      <c r="A8" s="19" t="inlineStr">
        <is>
          <t>红枣</t>
        </is>
      </c>
      <c r="B8" s="20" t="inlineStr">
        <is>
          <t>CJ2701</t>
        </is>
      </c>
      <c r="C8" s="20" t="inlineStr">
        <is>
          <t>★推荐（保证金上限 80% / 单笔 100 手）</t>
        </is>
      </c>
      <c r="D8" s="21" t="n">
        <v>8</v>
      </c>
      <c r="E8" s="22" t="n">
        <v>0.75</v>
      </c>
      <c r="F8" s="23" t="n">
        <v>3.278859219147881</v>
      </c>
      <c r="G8" s="24" t="n">
        <v>0.8401473204628456</v>
      </c>
      <c r="H8" s="23" t="n">
        <v>23.625</v>
      </c>
      <c r="I8" s="21" t="n">
        <v>31</v>
      </c>
      <c r="J8" s="25" t="n">
        <v>0.02873405606103413</v>
      </c>
      <c r="K8" s="22" t="n">
        <v>0.7734504977735882</v>
      </c>
      <c r="L8" s="26" t="n">
        <v>348516.75</v>
      </c>
      <c r="M8" s="27" t="n">
        <v>0.1617225</v>
      </c>
      <c r="N8" s="27" t="n">
        <v>0.4365226224388095</v>
      </c>
      <c r="O8" s="25" t="n">
        <v>0.06150234002465768</v>
      </c>
      <c r="P8" s="23" t="n">
        <v>7.20090828095675</v>
      </c>
      <c r="Q8" s="23" t="n">
        <v>8.214192225179788</v>
      </c>
    </row>
    <row r="10">
      <c r="A10" s="10" t="inlineStr">
        <is>
          <t>花生</t>
        </is>
      </c>
      <c r="B10" s="11" t="inlineStr">
        <is>
          <t>PK2611</t>
        </is>
      </c>
      <c r="C10" s="11" t="inlineStr">
        <is>
          <t>优化前（保证金上限 60% / 单笔 50 手）</t>
        </is>
      </c>
      <c r="D10" s="12" t="n">
        <v>23</v>
      </c>
      <c r="E10" s="13" t="n">
        <v>0.7391304347826088</v>
      </c>
      <c r="F10" s="14" t="n">
        <v>3.615583182874871</v>
      </c>
      <c r="G10" s="15" t="n">
        <v>0.9973787064451972</v>
      </c>
      <c r="H10" s="14" t="n">
        <v>42.34782608695652</v>
      </c>
      <c r="I10" s="12" t="n">
        <v>50</v>
      </c>
      <c r="J10" s="16" t="n">
        <v>0.01995311623522978</v>
      </c>
      <c r="K10" s="13" t="n">
        <v>0.5995694027380111</v>
      </c>
      <c r="L10" s="17" t="n">
        <v>427741.9999999998</v>
      </c>
      <c r="M10" s="18" t="n">
        <v>0.425806666666666</v>
      </c>
      <c r="N10" s="18" t="n">
        <v>0.5205884766202795</v>
      </c>
      <c r="O10" s="16" t="n">
        <v>0.04155060770118151</v>
      </c>
      <c r="P10" s="14" t="n">
        <v>17.25652076131318</v>
      </c>
      <c r="Q10" s="14" t="n">
        <v>8.52995573655028</v>
      </c>
    </row>
    <row r="11">
      <c r="A11" s="19" t="inlineStr">
        <is>
          <t>花生</t>
        </is>
      </c>
      <c r="B11" s="20" t="inlineStr">
        <is>
          <t>PK2611</t>
        </is>
      </c>
      <c r="C11" s="20" t="inlineStr">
        <is>
          <t>★推荐（保证金上限 80% / 单笔 100 手）</t>
        </is>
      </c>
      <c r="D11" s="21" t="n">
        <v>23</v>
      </c>
      <c r="E11" s="22" t="n">
        <v>0.7391304347826088</v>
      </c>
      <c r="F11" s="23" t="n">
        <v>3.650127813329517</v>
      </c>
      <c r="G11" s="24" t="n">
        <v>0.9973787064451972</v>
      </c>
      <c r="H11" s="23" t="n">
        <v>56.34782608695652</v>
      </c>
      <c r="I11" s="21" t="n">
        <v>76</v>
      </c>
      <c r="J11" s="25" t="n">
        <v>0.02495852729767104</v>
      </c>
      <c r="K11" s="22" t="n">
        <v>0.7922938042386857</v>
      </c>
      <c r="L11" s="26" t="n">
        <v>469688.5357142855</v>
      </c>
      <c r="M11" s="27" t="n">
        <v>0.5656284523809516</v>
      </c>
      <c r="N11" s="27" t="n">
        <v>0.698286137065727</v>
      </c>
      <c r="O11" s="25" t="n">
        <v>0.04586718368848765</v>
      </c>
      <c r="P11" s="23" t="n">
        <v>21.94828222734666</v>
      </c>
      <c r="Q11" s="23" t="n">
        <v>8.565816292233869</v>
      </c>
    </row>
    <row r="13">
      <c r="A13" s="10" t="inlineStr">
        <is>
          <t>烧碱</t>
        </is>
      </c>
      <c r="B13" s="11" t="inlineStr">
        <is>
          <t>SH2611</t>
        </is>
      </c>
      <c r="C13" s="11" t="inlineStr">
        <is>
          <t>优化前（保证金上限 60% / 单笔 50 手）</t>
        </is>
      </c>
      <c r="D13" s="12" t="n">
        <v>20</v>
      </c>
      <c r="E13" s="13" t="n">
        <v>0.7</v>
      </c>
      <c r="F13" s="14" t="n">
        <v>2.490767372371593</v>
      </c>
      <c r="G13" s="15" t="n">
        <v>0.5662771658638517</v>
      </c>
      <c r="H13" s="14" t="n">
        <v>16.1</v>
      </c>
      <c r="I13" s="12" t="n">
        <v>24</v>
      </c>
      <c r="J13" s="16" t="n">
        <v>0.02790894151797384</v>
      </c>
      <c r="K13" s="13" t="n">
        <v>0.5844471749273862</v>
      </c>
      <c r="L13" s="17" t="n">
        <v>388241.5395107139</v>
      </c>
      <c r="M13" s="18" t="n">
        <v>0.2941384650357131</v>
      </c>
      <c r="N13" s="18" t="n">
        <v>0.5048163632934719</v>
      </c>
      <c r="O13" s="16" t="n">
        <v>0.04311121338853594</v>
      </c>
      <c r="P13" s="14" t="n">
        <v>16.47801516291219</v>
      </c>
      <c r="Q13" s="14" t="n">
        <v>8.055851131963287</v>
      </c>
    </row>
    <row r="14">
      <c r="A14" s="19" t="inlineStr">
        <is>
          <t>烧碱</t>
        </is>
      </c>
      <c r="B14" s="20" t="inlineStr">
        <is>
          <t>SH2611</t>
        </is>
      </c>
      <c r="C14" s="20" t="inlineStr">
        <is>
          <t>★推荐（保证金上限 80% / 单笔 100 手）</t>
        </is>
      </c>
      <c r="D14" s="21" t="n">
        <v>20</v>
      </c>
      <c r="E14" s="22" t="n">
        <v>0.7</v>
      </c>
      <c r="F14" s="23" t="n">
        <v>2.369495645751056</v>
      </c>
      <c r="G14" s="24" t="n">
        <v>0.5662771658638517</v>
      </c>
      <c r="H14" s="23" t="n">
        <v>16.95</v>
      </c>
      <c r="I14" s="21" t="n">
        <v>24</v>
      </c>
      <c r="J14" s="25" t="n">
        <v>0.02918965718470146</v>
      </c>
      <c r="K14" s="22" t="n">
        <v>0.7906756702567133</v>
      </c>
      <c r="L14" s="26" t="n">
        <v>386813.1634178566</v>
      </c>
      <c r="M14" s="27" t="n">
        <v>0.2893772113928554</v>
      </c>
      <c r="N14" s="27" t="n">
        <v>0.4960509799875659</v>
      </c>
      <c r="O14" s="25" t="n">
        <v>0.05070651816233587</v>
      </c>
      <c r="P14" s="23" t="n">
        <v>15.51232267605904</v>
      </c>
      <c r="Q14" s="23" t="n">
        <v>8.053315034760095</v>
      </c>
    </row>
    <row r="16">
      <c r="A16" s="28" t="inlineStr">
        <is>
          <t>四账户合计</t>
        </is>
      </c>
      <c r="B16" s="29" t="inlineStr">
        <is>
          <t>—</t>
        </is>
      </c>
      <c r="C16" s="29" t="inlineStr">
        <is>
          <t>优化前（60%/50手）</t>
        </is>
      </c>
      <c r="D16" s="30" t="n">
        <v>73</v>
      </c>
      <c r="E16" s="31" t="n">
        <v>0.7397260273972602</v>
      </c>
      <c r="F16" s="29" t="inlineStr"/>
      <c r="G16" s="29" t="inlineStr"/>
      <c r="H16" s="29" t="inlineStr"/>
      <c r="I16" s="29" t="inlineStr"/>
      <c r="J16" s="29" t="inlineStr"/>
      <c r="K16" s="29" t="inlineStr"/>
      <c r="L16" s="32" t="n">
        <v>1591297.079225</v>
      </c>
      <c r="M16" s="33" t="n">
        <v>0.3260808993541662</v>
      </c>
      <c r="N16" s="29" t="inlineStr"/>
      <c r="O16" s="29" t="inlineStr"/>
      <c r="P16" s="29" t="inlineStr"/>
      <c r="Q16" s="29" t="inlineStr"/>
    </row>
    <row r="17">
      <c r="A17" s="34" t="inlineStr">
        <is>
          <t>四账户合计</t>
        </is>
      </c>
      <c r="B17" s="35" t="inlineStr">
        <is>
          <t>—</t>
        </is>
      </c>
      <c r="C17" s="35" t="inlineStr">
        <is>
          <t>★推荐（80%/100手）</t>
        </is>
      </c>
      <c r="D17" s="36" t="n">
        <v>73</v>
      </c>
      <c r="E17" s="37" t="n">
        <v>0.7397260273972602</v>
      </c>
      <c r="F17" s="35" t="inlineStr"/>
      <c r="G17" s="35" t="inlineStr"/>
      <c r="H17" s="35" t="inlineStr"/>
      <c r="I17" s="35" t="inlineStr"/>
      <c r="J17" s="35" t="inlineStr"/>
      <c r="K17" s="35" t="inlineStr"/>
      <c r="L17" s="38" t="n">
        <v>1647633.064410714</v>
      </c>
      <c r="M17" s="39" t="n">
        <v>0.3730275536755947</v>
      </c>
      <c r="N17" s="35" t="inlineStr"/>
      <c r="O17" s="35" t="inlineStr"/>
      <c r="P17" s="35" t="inlineStr"/>
      <c r="Q17" s="35" t="inlineStr"/>
    </row>
    <row r="18">
      <c r="A18" s="2" t="inlineStr">
        <is>
          <t>合计投入 120 万（四账户各 30 万）。优化后合计盈亏 +447,633 元，较优化前多 +56,336 元。</t>
        </is>
      </c>
    </row>
  </sheetData>
  <mergeCells count="3">
    <mergeCell ref="A1:P1"/>
    <mergeCell ref="A18:Q18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5" customWidth="1" min="4" max="4"/>
    <col width="14" customWidth="1" min="5" max="5"/>
    <col width="13" customWidth="1" min="6" max="6"/>
    <col width="14" customWidth="1" min="7" max="7"/>
    <col width="14" customWidth="1" min="8" max="8"/>
    <col width="15" customWidth="1" min="9" max="9"/>
  </cols>
  <sheetData>
    <row r="1">
      <c r="A1" s="9" t="inlineStr">
        <is>
          <t>资金使用诊断：手数被谁约束、风险预算用了几成</t>
        </is>
      </c>
    </row>
    <row r="2">
      <c r="A2" s="2" t="inlineStr">
        <is>
          <t>「风险允许手数」= 权益×3% ÷ 每手风险；「保证金允许手数」= 权益×上限 ÷ 单手保证金</t>
        </is>
      </c>
    </row>
    <row r="3" ht="32" customHeight="1">
      <c r="A3" s="6" t="inlineStr">
        <is>
          <t>品种</t>
        </is>
      </c>
      <c r="B3" s="6" t="inlineStr">
        <is>
          <t>资金参数</t>
        </is>
      </c>
      <c r="C3" s="6" t="inlineStr">
        <is>
          <t>风险允许手数</t>
        </is>
      </c>
      <c r="D3" s="6" t="inlineStr">
        <is>
          <t>保证金允许手数</t>
        </is>
      </c>
      <c r="E3" s="6" t="inlineStr">
        <is>
          <t>实际开仓手数</t>
        </is>
      </c>
      <c r="F3" s="6" t="inlineStr">
        <is>
          <t>被压制的笔数</t>
        </is>
      </c>
      <c r="G3" s="6" t="inlineStr">
        <is>
          <t>风险预算利用率</t>
        </is>
      </c>
      <c r="H3" s="6" t="inlineStr">
        <is>
          <t>平均保证金占用</t>
        </is>
      </c>
      <c r="I3" s="6" t="inlineStr">
        <is>
          <t>峰值保证金占用</t>
        </is>
      </c>
    </row>
    <row r="4">
      <c r="A4" s="10" t="inlineStr">
        <is>
          <t>纯碱</t>
        </is>
      </c>
      <c r="B4" s="11" t="inlineStr">
        <is>
          <t>优化前（保证金上限 60% / 单笔 50 手）</t>
        </is>
      </c>
      <c r="C4" s="40" t="n">
        <v>43.09090909090909</v>
      </c>
      <c r="D4" s="40" t="n">
        <v>42.45454545454545</v>
      </c>
      <c r="E4" s="40" t="n">
        <v>38</v>
      </c>
      <c r="F4" s="11" t="inlineStr">
        <is>
          <t>12/22</t>
        </is>
      </c>
      <c r="G4" s="13" t="n">
        <v>0.887147425836725</v>
      </c>
      <c r="H4" s="13" t="n">
        <v>0.5408312860659619</v>
      </c>
      <c r="I4" s="13" t="n">
        <v>0.510219494473759</v>
      </c>
    </row>
    <row r="5">
      <c r="A5" s="19" t="inlineStr">
        <is>
          <t>纯碱</t>
        </is>
      </c>
      <c r="B5" s="20" t="inlineStr">
        <is>
          <t>★推荐（保证金上限 80% / 单笔 100 手）</t>
        </is>
      </c>
      <c r="C5" s="41" t="n">
        <v>43.36363636363637</v>
      </c>
      <c r="D5" s="41" t="n">
        <v>57.22727272727273</v>
      </c>
      <c r="E5" s="41" t="n">
        <v>42.63636363636363</v>
      </c>
      <c r="F5" s="20" t="inlineStr">
        <is>
          <t>2/22</t>
        </is>
      </c>
      <c r="G5" s="22" t="n">
        <v>0.9753335993964087</v>
      </c>
      <c r="H5" s="22" t="n">
        <v>0.6097910511131642</v>
      </c>
      <c r="I5" s="22" t="n">
        <v>0.7767336822121151</v>
      </c>
    </row>
    <row r="7">
      <c r="A7" s="10" t="inlineStr">
        <is>
          <t>红枣</t>
        </is>
      </c>
      <c r="B7" s="11" t="inlineStr">
        <is>
          <t>优化前（保证金上限 60% / 单笔 50 手）</t>
        </is>
      </c>
      <c r="C7" s="40" t="n">
        <v>24</v>
      </c>
      <c r="D7" s="40" t="n">
        <v>23.25</v>
      </c>
      <c r="E7" s="40" t="n">
        <v>20.75</v>
      </c>
      <c r="F7" s="11" t="inlineStr">
        <is>
          <t>3/8</t>
        </is>
      </c>
      <c r="G7" s="13" t="n">
        <v>0.8784018839044109</v>
      </c>
      <c r="H7" s="13" t="n">
        <v>0.5311944439915732</v>
      </c>
      <c r="I7" s="13" t="n">
        <v>0.5908107237611503</v>
      </c>
    </row>
    <row r="8">
      <c r="A8" s="19" t="inlineStr">
        <is>
          <t>红枣</t>
        </is>
      </c>
      <c r="B8" s="20" t="inlineStr">
        <is>
          <t>★推荐（保证金上限 80% / 单笔 100 手）</t>
        </is>
      </c>
      <c r="C8" s="41" t="n">
        <v>24.25</v>
      </c>
      <c r="D8" s="41" t="n">
        <v>31.375</v>
      </c>
      <c r="E8" s="41" t="n">
        <v>23.625</v>
      </c>
      <c r="F8" s="20" t="inlineStr">
        <is>
          <t>2/8</t>
        </is>
      </c>
      <c r="G8" s="22" t="n">
        <v>0.9578018687011377</v>
      </c>
      <c r="H8" s="22" t="n">
        <v>0.5997508255080235</v>
      </c>
      <c r="I8" s="22" t="n">
        <v>0.7734504977735882</v>
      </c>
    </row>
    <row r="10">
      <c r="A10" s="10" t="inlineStr">
        <is>
          <t>花生</t>
        </is>
      </c>
      <c r="B10" s="11" t="inlineStr">
        <is>
          <t>优化前（保证金上限 60% / 单笔 50 手）</t>
        </is>
      </c>
      <c r="C10" s="40" t="n">
        <v>69.43478260869566</v>
      </c>
      <c r="D10" s="40" t="n">
        <v>42.82608695652174</v>
      </c>
      <c r="E10" s="40" t="n">
        <v>42.34782608695652</v>
      </c>
      <c r="F10" s="11" t="inlineStr">
        <is>
          <t>22/23</t>
        </is>
      </c>
      <c r="G10" s="13" t="n">
        <v>0.6651038745076592</v>
      </c>
      <c r="H10" s="13" t="n">
        <v>0.5866860193733556</v>
      </c>
      <c r="I10" s="13" t="n">
        <v>0.5995694027380111</v>
      </c>
    </row>
    <row r="11">
      <c r="A11" s="19" t="inlineStr">
        <is>
          <t>花生</t>
        </is>
      </c>
      <c r="B11" s="20" t="inlineStr">
        <is>
          <t>★推荐（保证金上限 80% / 单笔 100 手）</t>
        </is>
      </c>
      <c r="C11" s="41" t="n">
        <v>72.26086956521739</v>
      </c>
      <c r="D11" s="41" t="n">
        <v>60.30434782608695</v>
      </c>
      <c r="E11" s="41" t="n">
        <v>56.34782608695652</v>
      </c>
      <c r="F11" s="20" t="inlineStr">
        <is>
          <t>13/23</t>
        </is>
      </c>
      <c r="G11" s="22" t="n">
        <v>0.8319509099223679</v>
      </c>
      <c r="H11" s="22" t="n">
        <v>0.7497658207167649</v>
      </c>
      <c r="I11" s="22" t="n">
        <v>0.7922938042386857</v>
      </c>
    </row>
    <row r="13">
      <c r="A13" s="10" t="inlineStr">
        <is>
          <t>烧碱</t>
        </is>
      </c>
      <c r="B13" s="11" t="inlineStr">
        <is>
          <t>优化前（保证金上限 60% / 单笔 50 手）</t>
        </is>
      </c>
      <c r="C13" s="40" t="n">
        <v>17.05</v>
      </c>
      <c r="D13" s="40" t="n">
        <v>20</v>
      </c>
      <c r="E13" s="40" t="n">
        <v>16.1</v>
      </c>
      <c r="F13" s="11" t="inlineStr">
        <is>
          <t>4/20</t>
        </is>
      </c>
      <c r="G13" s="13" t="n">
        <v>0.9302980505991281</v>
      </c>
      <c r="H13" s="13" t="n">
        <v>0.4811178947700209</v>
      </c>
      <c r="I13" s="13" t="n">
        <v>0.5844471749273862</v>
      </c>
    </row>
    <row r="14">
      <c r="A14" s="19" t="inlineStr">
        <is>
          <t>烧碱</t>
        </is>
      </c>
      <c r="B14" s="20" t="inlineStr">
        <is>
          <t>★推荐（保证金上限 80% / 单笔 100 手）</t>
        </is>
      </c>
      <c r="C14" s="41" t="n">
        <v>17</v>
      </c>
      <c r="D14" s="41" t="n">
        <v>26.85</v>
      </c>
      <c r="E14" s="41" t="n">
        <v>16.95</v>
      </c>
      <c r="F14" s="20" t="inlineStr">
        <is>
          <t>1/20</t>
        </is>
      </c>
      <c r="G14" s="22" t="n">
        <v>0.972988572823382</v>
      </c>
      <c r="H14" s="22" t="n">
        <v>0.5134621418335208</v>
      </c>
      <c r="I14" s="22" t="n">
        <v>0.7906756702567133</v>
      </c>
    </row>
    <row r="16">
      <c r="A16" s="2" t="inlineStr">
        <is>
          <t>被压制的笔数 = 实际手数 &lt; 风险允许手数 的笔数（说明该笔没能按 3% 风险开足）。</t>
        </is>
      </c>
    </row>
    <row r="17">
      <c r="A17" s="2" t="inlineStr">
        <is>
          <t>风险预算利用率 = 实际单笔风险 ÷ 3%；越接近 100% 说明资金用得越充分。</t>
        </is>
      </c>
    </row>
  </sheetData>
  <mergeCells count="4">
    <mergeCell ref="A16:J16"/>
    <mergeCell ref="A1:J1"/>
    <mergeCell ref="A17:J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9" t="inlineStr">
        <is>
          <t>纯碱（SA2701）· 独立账户 30 万 · D 方案 3% · 60 分钟 ★优选</t>
        </is>
      </c>
    </row>
    <row r="2">
      <c r="A2" s="2" t="inlineStr">
        <is>
          <t>「含浮亏」= 已实现权益 + 在持仓浮亏（浮亏按初始止损价截断）</t>
        </is>
      </c>
    </row>
    <row r="3" ht="32" customHeight="1">
      <c r="A3" s="6" t="inlineStr">
        <is>
          <t>时间</t>
        </is>
      </c>
      <c r="B3" s="6" t="inlineStr">
        <is>
          <t>优化前·已实现权益</t>
        </is>
      </c>
      <c r="C3" s="6" t="inlineStr">
        <is>
          <t>优化前·含浮亏</t>
        </is>
      </c>
      <c r="D3" s="6" t="inlineStr">
        <is>
          <t>★推荐·已实现权益</t>
        </is>
      </c>
      <c r="E3" s="6" t="inlineStr">
        <is>
          <t>★推荐·含浮亏</t>
        </is>
      </c>
    </row>
    <row r="4">
      <c r="A4" s="10" t="inlineStr">
        <is>
          <t>2026-02-06 23:00:00</t>
        </is>
      </c>
      <c r="B4" s="17" t="n">
        <v>300000</v>
      </c>
      <c r="C4" s="17" t="n">
        <v>297752.5000000001</v>
      </c>
      <c r="D4" s="17" t="n">
        <v>300000</v>
      </c>
      <c r="E4" s="17" t="n">
        <v>297110.3571428572</v>
      </c>
    </row>
    <row r="5">
      <c r="A5" s="10" t="inlineStr">
        <is>
          <t>2026-02-09 15:00:00</t>
        </is>
      </c>
      <c r="B5" s="17" t="n">
        <v>306108.1115</v>
      </c>
      <c r="C5" s="17" t="n">
        <v>306108.1115</v>
      </c>
      <c r="D5" s="17" t="n">
        <v>307853.2862142857</v>
      </c>
      <c r="E5" s="17" t="n">
        <v>307853.2862142857</v>
      </c>
    </row>
    <row r="6">
      <c r="A6" s="10" t="inlineStr">
        <is>
          <t>2026-02-27 22:00:00</t>
        </is>
      </c>
      <c r="B6" s="17" t="n">
        <v>299083.558</v>
      </c>
      <c r="C6" s="17" t="n">
        <v>299083.558</v>
      </c>
      <c r="D6" s="17" t="n">
        <v>298420.3143714286</v>
      </c>
      <c r="E6" s="17" t="n">
        <v>298420.3143714286</v>
      </c>
    </row>
    <row r="7">
      <c r="A7" s="10" t="inlineStr">
        <is>
          <t>2026-03-18 11:15:00</t>
        </is>
      </c>
      <c r="B7" s="17" t="n">
        <v>299083.558</v>
      </c>
      <c r="C7" s="17" t="n">
        <v>298091.4151428573</v>
      </c>
      <c r="D7" s="17" t="n">
        <v>298420.3143714286</v>
      </c>
      <c r="E7" s="17" t="n">
        <v>297428.1715142858</v>
      </c>
    </row>
    <row r="8">
      <c r="A8" s="10" t="inlineStr">
        <is>
          <t>2026-03-18 14:15:00</t>
        </is>
      </c>
      <c r="B8" s="17" t="n">
        <v>307033.3259285715</v>
      </c>
      <c r="C8" s="17" t="n">
        <v>307033.3259285715</v>
      </c>
      <c r="D8" s="17" t="n">
        <v>306370.0823000001</v>
      </c>
      <c r="E8" s="17" t="n">
        <v>306370.0823000001</v>
      </c>
    </row>
    <row r="9">
      <c r="A9" s="10" t="inlineStr">
        <is>
          <t>2026-03-23 15:00:00</t>
        </is>
      </c>
      <c r="B9" s="17" t="n">
        <v>307033.3259285715</v>
      </c>
      <c r="C9" s="17" t="n">
        <v>307879.7545</v>
      </c>
      <c r="D9" s="17" t="n">
        <v>306370.0823000001</v>
      </c>
      <c r="E9" s="17" t="n">
        <v>307216.5108714286</v>
      </c>
    </row>
    <row r="10">
      <c r="A10" s="10" t="inlineStr">
        <is>
          <t>2026-03-23 23:00:00</t>
        </is>
      </c>
      <c r="B10" s="17" t="n">
        <v>315399.1205714286</v>
      </c>
      <c r="C10" s="17" t="n">
        <v>315399.1205714286</v>
      </c>
      <c r="D10" s="17" t="n">
        <v>314735.8769428572</v>
      </c>
      <c r="E10" s="17" t="n">
        <v>314735.8769428572</v>
      </c>
    </row>
    <row r="11">
      <c r="A11" s="10" t="inlineStr">
        <is>
          <t>2026-03-30 22:00:00</t>
        </is>
      </c>
      <c r="B11" s="17" t="n">
        <v>315399.1205714286</v>
      </c>
      <c r="C11" s="17" t="n">
        <v>315861.6205714286</v>
      </c>
      <c r="D11" s="17" t="n">
        <v>314735.8769428572</v>
      </c>
      <c r="E11" s="17" t="n">
        <v>315317.3055142857</v>
      </c>
    </row>
    <row r="12">
      <c r="A12" s="10" t="inlineStr">
        <is>
          <t>2026-03-31 10:00:00</t>
        </is>
      </c>
      <c r="B12" s="17" t="n">
        <v>307051.3293214286</v>
      </c>
      <c r="C12" s="17" t="n">
        <v>307051.3293214286</v>
      </c>
      <c r="D12" s="17" t="n">
        <v>304241.5108</v>
      </c>
      <c r="E12" s="17" t="n">
        <v>304241.5108</v>
      </c>
    </row>
    <row r="13">
      <c r="A13" s="10" t="inlineStr">
        <is>
          <t>2026-04-15 22:00:00</t>
        </is>
      </c>
      <c r="B13" s="17" t="n">
        <v>307051.3293214286</v>
      </c>
      <c r="C13" s="17" t="n">
        <v>307303.8293214286</v>
      </c>
      <c r="D13" s="17" t="n">
        <v>304241.5108</v>
      </c>
      <c r="E13" s="17" t="n">
        <v>304580.5822285715</v>
      </c>
    </row>
    <row r="14">
      <c r="A14" s="10" t="inlineStr">
        <is>
          <t>2026-04-15 23:00:00</t>
        </is>
      </c>
      <c r="B14" s="17" t="n">
        <v>311660.1878214286</v>
      </c>
      <c r="C14" s="17" t="n">
        <v>311660.1878214286</v>
      </c>
      <c r="D14" s="17" t="n">
        <v>310430.5493571429</v>
      </c>
      <c r="E14" s="17" t="n">
        <v>310430.5493571429</v>
      </c>
    </row>
    <row r="15">
      <c r="A15" s="10" t="inlineStr">
        <is>
          <t>2026-04-28 11:15:00</t>
        </is>
      </c>
      <c r="B15" s="17" t="n">
        <v>311660.1878214286</v>
      </c>
      <c r="C15" s="17" t="n">
        <v>311799.0449642857</v>
      </c>
      <c r="D15" s="17" t="n">
        <v>310430.5493571429</v>
      </c>
      <c r="E15" s="17" t="n">
        <v>310580.9779285715</v>
      </c>
    </row>
    <row r="16">
      <c r="A16" s="10" t="inlineStr">
        <is>
          <t>2026-04-28 14:15:00</t>
        </is>
      </c>
      <c r="B16" s="17" t="n">
        <v>319163.6212785714</v>
      </c>
      <c r="C16" s="17" t="n">
        <v>319163.6212785714</v>
      </c>
      <c r="D16" s="17" t="n">
        <v>318559.2689357143</v>
      </c>
      <c r="E16" s="17" t="n">
        <v>318559.2689357143</v>
      </c>
    </row>
    <row r="17">
      <c r="A17" s="10" t="inlineStr">
        <is>
          <t>2026-05-08 22:00:00</t>
        </is>
      </c>
      <c r="B17" s="17" t="n">
        <v>310099.3266571428</v>
      </c>
      <c r="C17" s="17" t="n">
        <v>310099.3266571428</v>
      </c>
      <c r="D17" s="17" t="n">
        <v>308025.0887</v>
      </c>
      <c r="E17" s="17" t="n">
        <v>308025.0887</v>
      </c>
    </row>
    <row r="18">
      <c r="A18" s="10" t="inlineStr">
        <is>
          <t>2026-05-25 10:00:00</t>
        </is>
      </c>
      <c r="B18" s="17" t="n">
        <v>300126.1054857142</v>
      </c>
      <c r="C18" s="17" t="n">
        <v>300126.1054857142</v>
      </c>
      <c r="D18" s="17" t="n">
        <v>298051.8675285713</v>
      </c>
      <c r="E18" s="17" t="n">
        <v>298051.8675285713</v>
      </c>
    </row>
    <row r="19">
      <c r="A19" s="10" t="inlineStr">
        <is>
          <t>2026-06-04 11:15:00</t>
        </is>
      </c>
      <c r="B19" s="17" t="n">
        <v>300126.1054857142</v>
      </c>
      <c r="C19" s="17" t="n">
        <v>294600.1054857143</v>
      </c>
      <c r="D19" s="17" t="n">
        <v>298051.8675285713</v>
      </c>
      <c r="E19" s="17" t="n">
        <v>291297.8675285714</v>
      </c>
    </row>
    <row r="20">
      <c r="A20" s="10" t="inlineStr">
        <is>
          <t>2026-06-04 14:15:00</t>
        </is>
      </c>
      <c r="B20" s="17" t="n">
        <v>306425.8138857142</v>
      </c>
      <c r="C20" s="17" t="n">
        <v>306425.8138857142</v>
      </c>
      <c r="D20" s="17" t="n">
        <v>305751.5111285714</v>
      </c>
      <c r="E20" s="17" t="n">
        <v>305751.5111285714</v>
      </c>
    </row>
    <row r="21">
      <c r="A21" s="10" t="inlineStr">
        <is>
          <t>2026-06-17 22:00:00</t>
        </is>
      </c>
      <c r="B21" s="17" t="n">
        <v>306425.8138857142</v>
      </c>
      <c r="C21" s="17" t="n">
        <v>302362.5281714284</v>
      </c>
      <c r="D21" s="17" t="n">
        <v>305751.5111285714</v>
      </c>
      <c r="E21" s="17" t="n">
        <v>300618.9396999998</v>
      </c>
    </row>
    <row r="22">
      <c r="A22" s="10" t="inlineStr">
        <is>
          <t>2026-06-17 23:00:00</t>
        </is>
      </c>
      <c r="B22" s="17" t="n">
        <v>319745.5489142857</v>
      </c>
      <c r="C22" s="17" t="n">
        <v>319745.5489142857</v>
      </c>
      <c r="D22" s="17" t="n">
        <v>322576.4395857142</v>
      </c>
      <c r="E22" s="17" t="n">
        <v>322576.4395857142</v>
      </c>
    </row>
    <row r="23">
      <c r="A23" s="10" t="inlineStr">
        <is>
          <t>2026-07-03 23:00:00</t>
        </is>
      </c>
      <c r="B23" s="17" t="n">
        <v>319745.5489142857</v>
      </c>
      <c r="C23" s="17" t="n">
        <v>322039.8346285713</v>
      </c>
      <c r="D23" s="17" t="n">
        <v>322576.4395857142</v>
      </c>
      <c r="E23" s="17" t="n">
        <v>325616.3681571427</v>
      </c>
    </row>
    <row r="24">
      <c r="A24" s="10" t="inlineStr">
        <is>
          <t>2026-07-06 10:00:00</t>
        </is>
      </c>
      <c r="B24" s="17" t="n">
        <v>326066.1523428571</v>
      </c>
      <c r="C24" s="17" t="n">
        <v>326066.1523428571</v>
      </c>
      <c r="D24" s="17" t="n">
        <v>330951.2391285714</v>
      </c>
      <c r="E24" s="17" t="n">
        <v>330951.2391285714</v>
      </c>
    </row>
    <row r="25">
      <c r="A25" s="10" t="inlineStr">
        <is>
          <t>2026-07-07 14:15:00</t>
        </is>
      </c>
      <c r="B25" s="17" t="n">
        <v>326066.1523428571</v>
      </c>
      <c r="C25" s="17" t="n">
        <v>320756.152342857</v>
      </c>
      <c r="D25" s="17" t="n">
        <v>330951.2391285714</v>
      </c>
      <c r="E25" s="17" t="n">
        <v>324629.8105571427</v>
      </c>
    </row>
    <row r="26">
      <c r="A26" s="10" t="inlineStr">
        <is>
          <t>2026-07-07 15:00:00</t>
        </is>
      </c>
      <c r="B26" s="17" t="n">
        <v>333390.9088428572</v>
      </c>
      <c r="C26" s="17" t="n">
        <v>333390.9088428572</v>
      </c>
      <c r="D26" s="17" t="n">
        <v>339671.1873428572</v>
      </c>
      <c r="E26" s="17" t="n">
        <v>339671.1873428572</v>
      </c>
    </row>
    <row r="27">
      <c r="A27" s="10" t="inlineStr">
        <is>
          <t>2026-08-07 22:00:00</t>
        </is>
      </c>
      <c r="B27" s="17" t="n">
        <v>322547.7945571431</v>
      </c>
      <c r="C27" s="17" t="n">
        <v>322547.7945571431</v>
      </c>
      <c r="D27" s="17" t="n">
        <v>328376.2766285716</v>
      </c>
      <c r="E27" s="17" t="n">
        <v>328376.2766285716</v>
      </c>
    </row>
    <row r="28">
      <c r="A28" s="10" t="inlineStr">
        <is>
          <t>2026-08-19 11:15:00</t>
        </is>
      </c>
      <c r="B28" s="17" t="n">
        <v>322547.7945571431</v>
      </c>
      <c r="C28" s="17" t="n">
        <v>322970.6517000002</v>
      </c>
      <c r="D28" s="17" t="n">
        <v>328376.2766285716</v>
      </c>
      <c r="E28" s="17" t="n">
        <v>328799.1337714287</v>
      </c>
    </row>
    <row r="29">
      <c r="A29" s="10" t="inlineStr">
        <is>
          <t>2026-08-19 14:15:00</t>
        </is>
      </c>
      <c r="B29" s="17" t="n">
        <v>331300.8125571431</v>
      </c>
      <c r="C29" s="17" t="n">
        <v>331300.8125571431</v>
      </c>
      <c r="D29" s="17" t="n">
        <v>337129.2946285717</v>
      </c>
      <c r="E29" s="17" t="n">
        <v>337129.2946285717</v>
      </c>
    </row>
    <row r="30">
      <c r="A30" s="10" t="inlineStr">
        <is>
          <t>2026-08-21 22:00:00</t>
        </is>
      </c>
      <c r="B30" s="17" t="n">
        <v>331300.8125571431</v>
      </c>
      <c r="C30" s="17" t="n">
        <v>328802.0268428574</v>
      </c>
      <c r="D30" s="17" t="n">
        <v>337129.2946285717</v>
      </c>
      <c r="E30" s="17" t="n">
        <v>334630.508914286</v>
      </c>
    </row>
    <row r="31">
      <c r="A31" s="10" t="inlineStr">
        <is>
          <t>2026-08-21 23:00:00</t>
        </is>
      </c>
      <c r="B31" s="17" t="n">
        <v>340309.4203285718</v>
      </c>
      <c r="C31" s="17" t="n">
        <v>340309.4203285718</v>
      </c>
      <c r="D31" s="17" t="n">
        <v>346137.9024000003</v>
      </c>
      <c r="E31" s="17" t="n">
        <v>346137.9024000003</v>
      </c>
    </row>
    <row r="32">
      <c r="A32" s="10" t="inlineStr">
        <is>
          <t>2026-08-26 23:00:00</t>
        </is>
      </c>
      <c r="B32" s="17" t="n">
        <v>340309.4203285718</v>
      </c>
      <c r="C32" s="17" t="n">
        <v>339924.9917571433</v>
      </c>
      <c r="D32" s="17" t="n">
        <v>346137.9024000003</v>
      </c>
      <c r="E32" s="17" t="n">
        <v>345743.6166857147</v>
      </c>
    </row>
    <row r="33">
      <c r="A33" s="10" t="inlineStr">
        <is>
          <t>2026-08-27 10:00:00</t>
        </is>
      </c>
      <c r="B33" s="17" t="n">
        <v>349401.514564286</v>
      </c>
      <c r="C33" s="17" t="n">
        <v>349401.514564286</v>
      </c>
      <c r="D33" s="17" t="n">
        <v>355463.1272571431</v>
      </c>
      <c r="E33" s="17" t="n">
        <v>355463.1272571431</v>
      </c>
    </row>
    <row r="34">
      <c r="A34" s="10" t="inlineStr">
        <is>
          <t>2026-08-31 11:15:00</t>
        </is>
      </c>
      <c r="B34" s="17" t="n">
        <v>349401.514564286</v>
      </c>
      <c r="C34" s="17" t="n">
        <v>350034.0859928575</v>
      </c>
      <c r="D34" s="17" t="n">
        <v>355463.1272571431</v>
      </c>
      <c r="E34" s="17" t="n">
        <v>356111.1272571433</v>
      </c>
    </row>
    <row r="35">
      <c r="A35" s="10" t="inlineStr">
        <is>
          <t>2026-08-31 14:15:00</t>
        </is>
      </c>
      <c r="B35" s="17" t="n">
        <v>358796.4182714287</v>
      </c>
      <c r="C35" s="17" t="n">
        <v>358796.4182714287</v>
      </c>
      <c r="D35" s="17" t="n">
        <v>365087.174957143</v>
      </c>
      <c r="E35" s="17" t="n">
        <v>365087.174957143</v>
      </c>
    </row>
    <row r="36">
      <c r="A36" s="10" t="inlineStr">
        <is>
          <t>2026-09-10 22:00:00</t>
        </is>
      </c>
      <c r="B36" s="17" t="n">
        <v>358796.4182714287</v>
      </c>
      <c r="C36" s="17" t="n">
        <v>371896.132557143</v>
      </c>
      <c r="D36" s="17" t="n">
        <v>365087.174957143</v>
      </c>
      <c r="E36" s="17" t="n">
        <v>378186.8892428573</v>
      </c>
    </row>
    <row r="37">
      <c r="A37" s="10" t="inlineStr">
        <is>
          <t>2026-09-10 23:00:00</t>
        </is>
      </c>
      <c r="B37" s="17" t="n">
        <v>379385.7584428572</v>
      </c>
      <c r="C37" s="17" t="n">
        <v>379385.7584428572</v>
      </c>
      <c r="D37" s="17" t="n">
        <v>385676.5151285715</v>
      </c>
      <c r="E37" s="17" t="n">
        <v>385676.5151285715</v>
      </c>
    </row>
    <row r="38">
      <c r="A38" s="10" t="inlineStr">
        <is>
          <t>2026-09-14 10:00:00</t>
        </is>
      </c>
      <c r="B38" s="17" t="n">
        <v>379385.7584428572</v>
      </c>
      <c r="C38" s="17" t="n">
        <v>373617.9013000001</v>
      </c>
      <c r="D38" s="17" t="n">
        <v>385676.5151285715</v>
      </c>
      <c r="E38" s="17" t="n">
        <v>379739.0151285715</v>
      </c>
    </row>
    <row r="39">
      <c r="A39" s="10" t="inlineStr">
        <is>
          <t>2026-09-14 11:15:00</t>
        </is>
      </c>
      <c r="B39" s="17" t="n">
        <v>389850.4229428572</v>
      </c>
      <c r="C39" s="17" t="n">
        <v>389850.4229428572</v>
      </c>
      <c r="D39" s="17" t="n">
        <v>396448.9638785715</v>
      </c>
      <c r="E39" s="17" t="n">
        <v>396448.9638785715</v>
      </c>
    </row>
    <row r="40">
      <c r="A40" s="10" t="inlineStr">
        <is>
          <t>2026-09-28 10:00:00</t>
        </is>
      </c>
      <c r="B40" s="17" t="n">
        <v>389850.4229428572</v>
      </c>
      <c r="C40" s="17" t="n">
        <v>408303.9943714286</v>
      </c>
      <c r="D40" s="17" t="n">
        <v>396448.9638785715</v>
      </c>
      <c r="E40" s="17" t="n">
        <v>416747.8924500001</v>
      </c>
    </row>
    <row r="41">
      <c r="A41" s="10" t="inlineStr">
        <is>
          <t>2026-09-28 14:15:00</t>
        </is>
      </c>
      <c r="B41" s="17" t="n">
        <v>410175.8379428572</v>
      </c>
      <c r="C41" s="17" t="n">
        <v>410175.8379428572</v>
      </c>
      <c r="D41" s="17" t="n">
        <v>418806.9203785716</v>
      </c>
      <c r="E41" s="17" t="n">
        <v>418806.9203785716</v>
      </c>
    </row>
    <row r="42">
      <c r="A42" s="10" t="inlineStr">
        <is>
          <t>2026-10-08 15:00:00</t>
        </is>
      </c>
      <c r="B42" s="17" t="n">
        <v>410175.8379428572</v>
      </c>
      <c r="C42" s="17" t="n">
        <v>404797.123657143</v>
      </c>
      <c r="D42" s="17" t="n">
        <v>418806.9203785716</v>
      </c>
      <c r="E42" s="17" t="n">
        <v>413311.2775214287</v>
      </c>
    </row>
    <row r="43">
      <c r="A43" s="10" t="inlineStr">
        <is>
          <t>2026-10-08 22:00:00</t>
        </is>
      </c>
      <c r="B43" s="17" t="n">
        <v>433476.9861428572</v>
      </c>
      <c r="C43" s="17" t="n">
        <v>433476.9861428572</v>
      </c>
      <c r="D43" s="17" t="n">
        <v>442614.6152785716</v>
      </c>
      <c r="E43" s="17" t="n">
        <v>442614.6152785716</v>
      </c>
    </row>
    <row r="45">
      <c r="A45" s="3" t="inlineStr">
        <is>
          <t>关键指标</t>
        </is>
      </c>
    </row>
    <row r="46" ht="32" customHeight="1">
      <c r="A46" s="6" t="inlineStr">
        <is>
          <t>指标</t>
        </is>
      </c>
      <c r="B46" s="6" t="inlineStr">
        <is>
          <t>优化前</t>
        </is>
      </c>
      <c r="C46" s="6" t="inlineStr">
        <is>
          <t>★推荐</t>
        </is>
      </c>
    </row>
    <row r="47">
      <c r="A47" s="10" t="inlineStr">
        <is>
          <t>成交笔数</t>
        </is>
      </c>
      <c r="B47" s="12" t="n">
        <v>22</v>
      </c>
      <c r="C47" s="12" t="n">
        <v>22</v>
      </c>
    </row>
    <row r="48">
      <c r="A48" s="10" t="inlineStr">
        <is>
          <t>胜率</t>
        </is>
      </c>
      <c r="B48" s="13" t="n">
        <v>0.7727272727272727</v>
      </c>
      <c r="C48" s="13" t="n">
        <v>0.7727272727272727</v>
      </c>
    </row>
    <row r="49">
      <c r="A49" s="10" t="inlineStr">
        <is>
          <t>盈亏比 PF</t>
        </is>
      </c>
      <c r="B49" s="14" t="n">
        <v>3.949573738488984</v>
      </c>
      <c r="C49" s="14" t="n">
        <v>3.756922093677168</v>
      </c>
    </row>
    <row r="50">
      <c r="A50" s="10" t="inlineStr">
        <is>
          <t>终值(元)</t>
        </is>
      </c>
      <c r="B50" s="17" t="n">
        <v>433476.9861428572</v>
      </c>
      <c r="C50" s="17" t="n">
        <v>442614.6152785716</v>
      </c>
    </row>
    <row r="51">
      <c r="A51" s="10" t="inlineStr">
        <is>
          <t>收益率</t>
        </is>
      </c>
      <c r="B51" s="18" t="n">
        <v>0.4449232871428574</v>
      </c>
      <c r="C51" s="18" t="n">
        <v>0.4753820509285718</v>
      </c>
    </row>
    <row r="52">
      <c r="A52" s="10" t="inlineStr">
        <is>
          <t>年化</t>
        </is>
      </c>
      <c r="B52" s="18" t="n">
        <v>0.7344146093235576</v>
      </c>
      <c r="C52" s="18" t="n">
        <v>0.7894009582239052</v>
      </c>
    </row>
    <row r="53">
      <c r="A53" s="10" t="inlineStr">
        <is>
          <t>最大回撤%</t>
        </is>
      </c>
      <c r="B53" s="16" t="n">
        <v>0.04391816959478256</v>
      </c>
      <c r="C53" s="16" t="n">
        <v>0.04633240905123758</v>
      </c>
    </row>
    <row r="54">
      <c r="A54" s="10" t="inlineStr">
        <is>
          <t>含浮亏回撤%</t>
        </is>
      </c>
      <c r="B54" s="16" t="n">
        <v>0.0566662512153805</v>
      </c>
      <c r="C54" s="16" t="n">
        <v>0.06159173345413631</v>
      </c>
    </row>
    <row r="55">
      <c r="A55" s="10" t="inlineStr">
        <is>
          <t>Calmar</t>
        </is>
      </c>
      <c r="B55" s="14" t="n">
        <v>16.7223410287756</v>
      </c>
      <c r="C55" s="14" t="n">
        <v>17.03777063158816</v>
      </c>
    </row>
    <row r="56">
      <c r="A56" s="10" t="inlineStr">
        <is>
          <t>Sharpe</t>
        </is>
      </c>
      <c r="B56" s="14" t="n">
        <v>9.796462441913073</v>
      </c>
      <c r="C56" s="14" t="n">
        <v>9.519382735145969</v>
      </c>
    </row>
    <row r="57">
      <c r="A57" s="10" t="inlineStr">
        <is>
          <t>均手</t>
        </is>
      </c>
      <c r="B57" s="14" t="n">
        <v>38</v>
      </c>
      <c r="C57" s="14" t="n">
        <v>42.63636363636363</v>
      </c>
    </row>
    <row r="58">
      <c r="A58" s="10" t="inlineStr">
        <is>
          <t>保证金峰值%</t>
        </is>
      </c>
      <c r="B58" s="13" t="n">
        <v>0.510219494473759</v>
      </c>
      <c r="C58" s="13" t="n">
        <v>0.7767336822121151</v>
      </c>
    </row>
    <row r="59">
      <c r="A59" s="10" t="inlineStr">
        <is>
          <t>最长连亏笔数</t>
        </is>
      </c>
      <c r="B59" s="12" t="n">
        <v>2</v>
      </c>
      <c r="C59" s="12" t="n">
        <v>2</v>
      </c>
    </row>
    <row r="60">
      <c r="A60" s="10" t="inlineStr">
        <is>
          <t>出场：移动止盈%</t>
        </is>
      </c>
      <c r="B60" s="13" t="n">
        <v>0.7727272727272727</v>
      </c>
      <c r="C60" s="11" t="inlineStr"/>
    </row>
    <row r="61">
      <c r="A61" s="10" t="inlineStr">
        <is>
          <t>出场：初始止损%</t>
        </is>
      </c>
      <c r="B61" s="13" t="n">
        <v>0.2272727272727273</v>
      </c>
      <c r="C61" s="11" t="inlineStr"/>
    </row>
    <row r="62">
      <c r="A62" s="10" t="inlineStr">
        <is>
          <t>出场：到达目标%</t>
        </is>
      </c>
      <c r="B62" s="13" t="n">
        <v>0</v>
      </c>
      <c r="C62" s="11" t="inlineStr"/>
    </row>
  </sheetData>
  <mergeCells count="3">
    <mergeCell ref="A45:F45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9" t="inlineStr">
        <is>
          <t>红枣（CJ2701）· 独立账户 30 万 · D 方案 3% · 60 分钟 ★优选</t>
        </is>
      </c>
    </row>
    <row r="2">
      <c r="A2" s="2" t="inlineStr">
        <is>
          <t>「含浮亏」= 已实现权益 + 在持仓浮亏（浮亏按初始止损价截断）</t>
        </is>
      </c>
    </row>
    <row r="3" ht="32" customHeight="1">
      <c r="A3" s="6" t="inlineStr">
        <is>
          <t>时间</t>
        </is>
      </c>
      <c r="B3" s="6" t="inlineStr">
        <is>
          <t>优化前·已实现权益</t>
        </is>
      </c>
      <c r="C3" s="6" t="inlineStr">
        <is>
          <t>优化前·含浮亏</t>
        </is>
      </c>
      <c r="D3" s="6" t="inlineStr">
        <is>
          <t>★推荐·已实现权益</t>
        </is>
      </c>
      <c r="E3" s="6" t="inlineStr">
        <is>
          <t>★推荐·含浮亏</t>
        </is>
      </c>
    </row>
    <row r="4">
      <c r="A4" s="10" t="inlineStr">
        <is>
          <t>2026-02-05 10:00:00</t>
        </is>
      </c>
      <c r="B4" s="17" t="n">
        <v>300000</v>
      </c>
      <c r="C4" s="17" t="n">
        <v>298440.3571428572</v>
      </c>
      <c r="D4" s="17" t="n">
        <v>300000</v>
      </c>
      <c r="E4" s="17" t="n">
        <v>297944.1071428573</v>
      </c>
    </row>
    <row r="5">
      <c r="A5" s="10" t="inlineStr">
        <is>
          <t>2026-02-05 11:15:00</t>
        </is>
      </c>
      <c r="B5" s="17" t="n">
        <v>305172.75</v>
      </c>
      <c r="C5" s="17" t="n">
        <v>305172.75</v>
      </c>
      <c r="D5" s="17" t="n">
        <v>306818.625</v>
      </c>
      <c r="E5" s="17" t="n">
        <v>306818.625</v>
      </c>
    </row>
    <row r="6">
      <c r="A6" s="10" t="inlineStr">
        <is>
          <t>2026-02-25 10:00:00</t>
        </is>
      </c>
      <c r="B6" s="17" t="n">
        <v>305172.75</v>
      </c>
      <c r="C6" s="17" t="n">
        <v>305600.9642857143</v>
      </c>
      <c r="D6" s="17" t="n">
        <v>306818.625</v>
      </c>
      <c r="E6" s="17" t="n">
        <v>307383.0892857143</v>
      </c>
    </row>
    <row r="7">
      <c r="A7" s="10" t="inlineStr">
        <is>
          <t>2026-02-25 11:15:00</t>
        </is>
      </c>
      <c r="B7" s="17" t="n">
        <v>311082.107142857</v>
      </c>
      <c r="C7" s="17" t="n">
        <v>311082.107142857</v>
      </c>
      <c r="D7" s="17" t="n">
        <v>314608.232142857</v>
      </c>
      <c r="E7" s="17" t="n">
        <v>314608.232142857</v>
      </c>
    </row>
    <row r="8">
      <c r="A8" s="10" t="inlineStr">
        <is>
          <t>2026-03-18 10:00:00</t>
        </is>
      </c>
      <c r="B8" s="17" t="n">
        <v>311082.107142857</v>
      </c>
      <c r="C8" s="17" t="n">
        <v>314402.732142857</v>
      </c>
      <c r="D8" s="17" t="n">
        <v>314608.232142857</v>
      </c>
      <c r="E8" s="17" t="n">
        <v>318086.982142857</v>
      </c>
    </row>
    <row r="9">
      <c r="A9" s="10" t="inlineStr">
        <is>
          <t>2026-03-18 11:15:00</t>
        </is>
      </c>
      <c r="B9" s="17" t="n">
        <v>328441.607142857</v>
      </c>
      <c r="C9" s="17" t="n">
        <v>328441.607142857</v>
      </c>
      <c r="D9" s="17" t="n">
        <v>332794.3749999998</v>
      </c>
      <c r="E9" s="17" t="n">
        <v>332794.3749999998</v>
      </c>
    </row>
    <row r="10">
      <c r="A10" s="10" t="inlineStr">
        <is>
          <t>2026-04-20 14:15:00</t>
        </is>
      </c>
      <c r="B10" s="17" t="n">
        <v>328441.607142857</v>
      </c>
      <c r="C10" s="17" t="n">
        <v>330569.107142857</v>
      </c>
      <c r="D10" s="17" t="n">
        <v>332794.3749999998</v>
      </c>
      <c r="E10" s="17" t="n">
        <v>335661.8749999998</v>
      </c>
    </row>
    <row r="11">
      <c r="A11" s="10" t="inlineStr">
        <is>
          <t>2026-04-20 15:00:00</t>
        </is>
      </c>
      <c r="B11" s="17" t="n">
        <v>335132.9642857143</v>
      </c>
      <c r="C11" s="17" t="n">
        <v>335132.9642857143</v>
      </c>
      <c r="D11" s="17" t="n">
        <v>341813.1607142857</v>
      </c>
      <c r="E11" s="17" t="n">
        <v>341813.1607142857</v>
      </c>
    </row>
    <row r="12">
      <c r="A12" s="10" t="inlineStr">
        <is>
          <t>2026-05-18 14:15:00</t>
        </is>
      </c>
      <c r="B12" s="17" t="n">
        <v>335132.9642857143</v>
      </c>
      <c r="C12" s="17" t="n">
        <v>336120.2857142857</v>
      </c>
      <c r="D12" s="17" t="n">
        <v>341813.1607142857</v>
      </c>
      <c r="E12" s="17" t="n">
        <v>342800.4821428571</v>
      </c>
    </row>
    <row r="13">
      <c r="A13" s="10" t="inlineStr">
        <is>
          <t>2026-05-18 15:00:00</t>
        </is>
      </c>
      <c r="B13" s="17" t="n">
        <v>344519.9821428572</v>
      </c>
      <c r="C13" s="17" t="n">
        <v>344519.9821428572</v>
      </c>
      <c r="D13" s="17" t="n">
        <v>351200.1785714286</v>
      </c>
      <c r="E13" s="17" t="n">
        <v>351200.1785714286</v>
      </c>
    </row>
    <row r="14">
      <c r="A14" s="10" t="inlineStr">
        <is>
          <t>2026-05-27 10:00:00</t>
        </is>
      </c>
      <c r="B14" s="17" t="n">
        <v>344519.9821428572</v>
      </c>
      <c r="C14" s="17" t="n">
        <v>344849.9821428572</v>
      </c>
      <c r="D14" s="17" t="n">
        <v>351200.1785714286</v>
      </c>
      <c r="E14" s="17" t="n">
        <v>351530.1785714286</v>
      </c>
    </row>
    <row r="15">
      <c r="A15" s="10" t="inlineStr">
        <is>
          <t>2026-05-28 14:15:00</t>
        </is>
      </c>
      <c r="B15" s="17" t="n">
        <v>333662.9821428572</v>
      </c>
      <c r="C15" s="17" t="n">
        <v>333662.9821428572</v>
      </c>
      <c r="D15" s="17" t="n">
        <v>340343.1785714286</v>
      </c>
      <c r="E15" s="17" t="n">
        <v>340343.1785714286</v>
      </c>
    </row>
    <row r="16">
      <c r="A16" s="10" t="inlineStr">
        <is>
          <t>2026-06-05 15:00:00</t>
        </is>
      </c>
      <c r="B16" s="17" t="n">
        <v>333662.9821428572</v>
      </c>
      <c r="C16" s="17" t="n">
        <v>334709.2321428572</v>
      </c>
      <c r="D16" s="17" t="n">
        <v>340343.1785714286</v>
      </c>
      <c r="E16" s="17" t="n">
        <v>341389.4285714286</v>
      </c>
    </row>
    <row r="17">
      <c r="A17" s="10" t="inlineStr">
        <is>
          <t>2026-06-10 10:00:00</t>
        </is>
      </c>
      <c r="B17" s="17" t="n">
        <v>323230.0535714286</v>
      </c>
      <c r="C17" s="17" t="n">
        <v>323230.0535714286</v>
      </c>
      <c r="D17" s="17" t="n">
        <v>329910.25</v>
      </c>
      <c r="E17" s="17" t="n">
        <v>329910.25</v>
      </c>
    </row>
    <row r="18">
      <c r="A18" s="10" t="inlineStr">
        <is>
          <t>2026-07-06 10:00:00</t>
        </is>
      </c>
      <c r="B18" s="17" t="n">
        <v>323230.0535714286</v>
      </c>
      <c r="C18" s="17" t="n">
        <v>325790.6785714286</v>
      </c>
      <c r="D18" s="17" t="n">
        <v>329910.25</v>
      </c>
      <c r="E18" s="17" t="n">
        <v>332470.875</v>
      </c>
    </row>
    <row r="19">
      <c r="A19" s="10" t="inlineStr">
        <is>
          <t>2026-07-06 11:15:00</t>
        </is>
      </c>
      <c r="B19" s="17" t="n">
        <v>341836.5535714286</v>
      </c>
      <c r="C19" s="17" t="n">
        <v>341836.5535714286</v>
      </c>
      <c r="D19" s="17" t="n">
        <v>348516.75</v>
      </c>
      <c r="E19" s="17" t="n">
        <v>348516.75</v>
      </c>
    </row>
    <row r="21">
      <c r="A21" s="3" t="inlineStr">
        <is>
          <t>关键指标</t>
        </is>
      </c>
    </row>
    <row r="22" ht="32" customHeight="1">
      <c r="A22" s="6" t="inlineStr">
        <is>
          <t>指标</t>
        </is>
      </c>
      <c r="B22" s="6" t="inlineStr">
        <is>
          <t>优化前</t>
        </is>
      </c>
      <c r="C22" s="6" t="inlineStr">
        <is>
          <t>★推荐</t>
        </is>
      </c>
    </row>
    <row r="23">
      <c r="A23" s="10" t="inlineStr">
        <is>
          <t>成交笔数</t>
        </is>
      </c>
      <c r="B23" s="12" t="n">
        <v>8</v>
      </c>
      <c r="C23" s="12" t="n">
        <v>8</v>
      </c>
    </row>
    <row r="24">
      <c r="A24" s="10" t="inlineStr">
        <is>
          <t>胜率</t>
        </is>
      </c>
      <c r="B24" s="13" t="n">
        <v>0.75</v>
      </c>
      <c r="C24" s="13" t="n">
        <v>0.75</v>
      </c>
    </row>
    <row r="25">
      <c r="A25" s="10" t="inlineStr">
        <is>
          <t>盈亏比 PF</t>
        </is>
      </c>
      <c r="B25" s="14" t="n">
        <v>2.965086610369082</v>
      </c>
      <c r="C25" s="14" t="n">
        <v>3.278859219147881</v>
      </c>
    </row>
    <row r="26">
      <c r="A26" s="10" t="inlineStr">
        <is>
          <t>终值(元)</t>
        </is>
      </c>
      <c r="B26" s="17" t="n">
        <v>341836.5535714286</v>
      </c>
      <c r="C26" s="17" t="n">
        <v>348516.75</v>
      </c>
    </row>
    <row r="27">
      <c r="A27" s="10" t="inlineStr">
        <is>
          <t>收益率</t>
        </is>
      </c>
      <c r="B27" s="18" t="n">
        <v>0.1394551785714286</v>
      </c>
      <c r="C27" s="18" t="n">
        <v>0.1617225</v>
      </c>
    </row>
    <row r="28">
      <c r="A28" s="10" t="inlineStr">
        <is>
          <t>年化</t>
        </is>
      </c>
      <c r="B28" s="18" t="n">
        <v>0.3708892800126495</v>
      </c>
      <c r="C28" s="18" t="n">
        <v>0.4365226224388095</v>
      </c>
    </row>
    <row r="29">
      <c r="A29" s="10" t="inlineStr">
        <is>
          <t>最大回撤%</t>
        </is>
      </c>
      <c r="B29" s="16" t="n">
        <v>0.0617959180161592</v>
      </c>
      <c r="C29" s="16" t="n">
        <v>0.06062049472192566</v>
      </c>
    </row>
    <row r="30">
      <c r="A30" s="10" t="inlineStr">
        <is>
          <t>含浮亏回撤%</t>
        </is>
      </c>
      <c r="B30" s="16" t="n">
        <v>0.06269372101191639</v>
      </c>
      <c r="C30" s="16" t="n">
        <v>0.06150234002465768</v>
      </c>
    </row>
    <row r="31">
      <c r="A31" s="10" t="inlineStr">
        <is>
          <t>Calmar</t>
        </is>
      </c>
      <c r="B31" s="14" t="n">
        <v>6.00184109111648</v>
      </c>
      <c r="C31" s="14" t="n">
        <v>7.20090828095675</v>
      </c>
    </row>
    <row r="32">
      <c r="A32" s="10" t="inlineStr">
        <is>
          <t>Sharpe</t>
        </is>
      </c>
      <c r="B32" s="14" t="n">
        <v>7.361806529790216</v>
      </c>
      <c r="C32" s="14" t="n">
        <v>8.214192225179788</v>
      </c>
    </row>
    <row r="33">
      <c r="A33" s="10" t="inlineStr">
        <is>
          <t>均手</t>
        </is>
      </c>
      <c r="B33" s="14" t="n">
        <v>20.75</v>
      </c>
      <c r="C33" s="14" t="n">
        <v>23.625</v>
      </c>
    </row>
    <row r="34">
      <c r="A34" s="10" t="inlineStr">
        <is>
          <t>保证金峰值%</t>
        </is>
      </c>
      <c r="B34" s="13" t="n">
        <v>0.5908107237611503</v>
      </c>
      <c r="C34" s="13" t="n">
        <v>0.7734504977735882</v>
      </c>
    </row>
    <row r="35">
      <c r="A35" s="10" t="inlineStr">
        <is>
          <t>最长连亏笔数</t>
        </is>
      </c>
      <c r="B35" s="12" t="n">
        <v>2</v>
      </c>
      <c r="C35" s="12" t="n">
        <v>2</v>
      </c>
    </row>
    <row r="36">
      <c r="A36" s="10" t="inlineStr">
        <is>
          <t>出场：移动止盈%</t>
        </is>
      </c>
      <c r="B36" s="13" t="n">
        <v>0.75</v>
      </c>
      <c r="C36" s="11" t="inlineStr"/>
    </row>
    <row r="37">
      <c r="A37" s="10" t="inlineStr">
        <is>
          <t>出场：初始止损%</t>
        </is>
      </c>
      <c r="B37" s="13" t="n">
        <v>0.25</v>
      </c>
      <c r="C37" s="11" t="inlineStr"/>
    </row>
    <row r="38">
      <c r="A38" s="10" t="inlineStr">
        <is>
          <t>出场：到达目标%</t>
        </is>
      </c>
      <c r="B38" s="13" t="n">
        <v>0</v>
      </c>
      <c r="C38" s="11" t="inlineStr"/>
    </row>
  </sheetData>
  <mergeCells count="3">
    <mergeCell ref="A2:F2"/>
    <mergeCell ref="A21:F21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9" t="inlineStr">
        <is>
          <t>花生（PK2611）· 独立账户 30 万 · D 方案 3% · 60 分钟 ★优选</t>
        </is>
      </c>
    </row>
    <row r="2">
      <c r="A2" s="2" t="inlineStr">
        <is>
          <t>「含浮亏」= 已实现权益 + 在持仓浮亏（浮亏按初始止损价截断）</t>
        </is>
      </c>
    </row>
    <row r="3" ht="32" customHeight="1">
      <c r="A3" s="6" t="inlineStr">
        <is>
          <t>时间</t>
        </is>
      </c>
      <c r="B3" s="6" t="inlineStr">
        <is>
          <t>优化前·已实现权益</t>
        </is>
      </c>
      <c r="C3" s="6" t="inlineStr">
        <is>
          <t>优化前·含浮亏</t>
        </is>
      </c>
      <c r="D3" s="6" t="inlineStr">
        <is>
          <t>★推荐·已实现权益</t>
        </is>
      </c>
      <c r="E3" s="6" t="inlineStr">
        <is>
          <t>★推荐·含浮亏</t>
        </is>
      </c>
    </row>
    <row r="4">
      <c r="A4" s="10" t="inlineStr">
        <is>
          <t>2025-12-03 11:15:00</t>
        </is>
      </c>
      <c r="B4" s="17" t="n">
        <v>300000</v>
      </c>
      <c r="C4" s="17" t="n">
        <v>311451.8571428572</v>
      </c>
      <c r="D4" s="17" t="n">
        <v>300000</v>
      </c>
      <c r="E4" s="17" t="n">
        <v>315587.25</v>
      </c>
    </row>
    <row r="5">
      <c r="A5" s="10" t="inlineStr">
        <is>
          <t>2025-12-03 14:15:00</t>
        </is>
      </c>
      <c r="B5" s="17" t="n">
        <v>309738</v>
      </c>
      <c r="C5" s="17" t="n">
        <v>309738</v>
      </c>
      <c r="D5" s="17" t="n">
        <v>313254.5</v>
      </c>
      <c r="E5" s="17" t="n">
        <v>313254.5</v>
      </c>
    </row>
    <row r="6">
      <c r="A6" s="10" t="inlineStr">
        <is>
          <t>2025-12-11 15:00:00</t>
        </is>
      </c>
      <c r="B6" s="17" t="n">
        <v>306400.0714285715</v>
      </c>
      <c r="C6" s="17" t="n">
        <v>306400.0714285715</v>
      </c>
      <c r="D6" s="17" t="n">
        <v>308653.5714285715</v>
      </c>
      <c r="E6" s="17" t="n">
        <v>308653.5714285715</v>
      </c>
    </row>
    <row r="7">
      <c r="A7" s="10" t="inlineStr">
        <is>
          <t>2025-12-29 10:00:00</t>
        </is>
      </c>
      <c r="B7" s="17" t="n">
        <v>306400.0714285715</v>
      </c>
      <c r="C7" s="17" t="n">
        <v>306203.1785714285</v>
      </c>
      <c r="D7" s="17" t="n">
        <v>308653.5714285715</v>
      </c>
      <c r="E7" s="17" t="n">
        <v>308387.4999999998</v>
      </c>
    </row>
    <row r="8">
      <c r="A8" s="10" t="inlineStr">
        <is>
          <t>2025-12-29 11:15:00</t>
        </is>
      </c>
      <c r="B8" s="17" t="n">
        <v>309537.1428571428</v>
      </c>
      <c r="C8" s="17" t="n">
        <v>309537.1428571428</v>
      </c>
      <c r="D8" s="17" t="n">
        <v>312892.857142857</v>
      </c>
      <c r="E8" s="17" t="n">
        <v>312892.857142857</v>
      </c>
    </row>
    <row r="9">
      <c r="A9" s="10" t="inlineStr">
        <is>
          <t>2026-01-13 14:15:00</t>
        </is>
      </c>
      <c r="B9" s="17" t="n">
        <v>309537.1428571428</v>
      </c>
      <c r="C9" s="17" t="n">
        <v>315027.6785714285</v>
      </c>
      <c r="D9" s="17" t="n">
        <v>312892.857142857</v>
      </c>
      <c r="E9" s="17" t="n">
        <v>320460.8928571428</v>
      </c>
    </row>
    <row r="10">
      <c r="A10" s="10" t="inlineStr">
        <is>
          <t>2026-01-13 15:00:00</t>
        </is>
      </c>
      <c r="B10" s="17" t="n">
        <v>317497.4285714285</v>
      </c>
      <c r="C10" s="17" t="n">
        <v>317497.4285714285</v>
      </c>
      <c r="D10" s="17" t="n">
        <v>323865.1428571428</v>
      </c>
      <c r="E10" s="17" t="n">
        <v>323865.1428571428</v>
      </c>
    </row>
    <row r="11">
      <c r="A11" s="10" t="inlineStr">
        <is>
          <t>2026-01-27 10:00:00</t>
        </is>
      </c>
      <c r="B11" s="17" t="n">
        <v>317497.4285714285</v>
      </c>
      <c r="C11" s="17" t="n">
        <v>325820.7857142855</v>
      </c>
      <c r="D11" s="17" t="n">
        <v>323865.1428571428</v>
      </c>
      <c r="E11" s="17" t="n">
        <v>335254.9999999997</v>
      </c>
    </row>
    <row r="12">
      <c r="A12" s="10" t="inlineStr">
        <is>
          <t>2026-01-27 11:15:00</t>
        </is>
      </c>
      <c r="B12" s="17" t="n">
        <v>323569.2857142859</v>
      </c>
      <c r="C12" s="17" t="n">
        <v>323569.2857142859</v>
      </c>
      <c r="D12" s="17" t="n">
        <v>332174.0000000002</v>
      </c>
      <c r="E12" s="17" t="n">
        <v>332174.0000000002</v>
      </c>
    </row>
    <row r="13">
      <c r="A13" s="10" t="inlineStr">
        <is>
          <t>2026-02-10 10:00:00</t>
        </is>
      </c>
      <c r="B13" s="17" t="n">
        <v>317439.3214285717</v>
      </c>
      <c r="C13" s="17" t="n">
        <v>317439.3214285717</v>
      </c>
      <c r="D13" s="17" t="n">
        <v>323843.5357142861</v>
      </c>
      <c r="E13" s="17" t="n">
        <v>323843.5357142861</v>
      </c>
    </row>
    <row r="14">
      <c r="A14" s="10" t="inlineStr">
        <is>
          <t>2026-03-02 10:00:00</t>
        </is>
      </c>
      <c r="B14" s="17" t="n">
        <v>317439.3214285717</v>
      </c>
      <c r="C14" s="17" t="n">
        <v>320710.0357142861</v>
      </c>
      <c r="D14" s="17" t="n">
        <v>323843.5357142861</v>
      </c>
      <c r="E14" s="17" t="n">
        <v>328319.2500000005</v>
      </c>
    </row>
    <row r="15">
      <c r="A15" s="10" t="inlineStr">
        <is>
          <t>2026-03-02 11:15:00</t>
        </is>
      </c>
      <c r="B15" s="17" t="n">
        <v>322357.6071428573</v>
      </c>
      <c r="C15" s="17" t="n">
        <v>322357.6071428573</v>
      </c>
      <c r="D15" s="17" t="n">
        <v>330573.8214285717</v>
      </c>
      <c r="E15" s="17" t="n">
        <v>330573.8214285717</v>
      </c>
    </row>
    <row r="16">
      <c r="A16" s="10" t="inlineStr">
        <is>
          <t>2026-03-09 10:00:00</t>
        </is>
      </c>
      <c r="B16" s="17" t="n">
        <v>314521.3928571431</v>
      </c>
      <c r="C16" s="17" t="n">
        <v>314521.3928571431</v>
      </c>
      <c r="D16" s="17" t="n">
        <v>319924.6071428575</v>
      </c>
      <c r="E16" s="17" t="n">
        <v>319924.6071428575</v>
      </c>
    </row>
    <row r="17">
      <c r="A17" s="10" t="inlineStr">
        <is>
          <t>2026-03-26 11:15:00</t>
        </is>
      </c>
      <c r="B17" s="17" t="n">
        <v>314521.3928571431</v>
      </c>
      <c r="C17" s="17" t="n">
        <v>311081.7142857145</v>
      </c>
      <c r="D17" s="17" t="n">
        <v>319924.6071428575</v>
      </c>
      <c r="E17" s="17" t="n">
        <v>315183.4285714288</v>
      </c>
    </row>
    <row r="18">
      <c r="A18" s="10" t="inlineStr">
        <is>
          <t>2026-03-26 14:15:00</t>
        </is>
      </c>
      <c r="B18" s="17" t="n">
        <v>326379.8928571431</v>
      </c>
      <c r="C18" s="17" t="n">
        <v>326379.8928571431</v>
      </c>
      <c r="D18" s="17" t="n">
        <v>336270.1071428575</v>
      </c>
      <c r="E18" s="17" t="n">
        <v>336270.1071428575</v>
      </c>
    </row>
    <row r="19">
      <c r="A19" s="10" t="inlineStr">
        <is>
          <t>2026-04-08 15:00:00</t>
        </is>
      </c>
      <c r="B19" s="17" t="n">
        <v>326379.8928571431</v>
      </c>
      <c r="C19" s="17" t="n">
        <v>327111.1428571431</v>
      </c>
      <c r="D19" s="17" t="n">
        <v>336270.1071428575</v>
      </c>
      <c r="E19" s="17" t="n">
        <v>337282.6071428575</v>
      </c>
    </row>
    <row r="20">
      <c r="A20" s="10" t="inlineStr">
        <is>
          <t>2026-04-09 10:00:00</t>
        </is>
      </c>
      <c r="B20" s="17" t="n">
        <v>332576.7142857148</v>
      </c>
      <c r="C20" s="17" t="n">
        <v>332576.7142857148</v>
      </c>
      <c r="D20" s="17" t="n">
        <v>344850.3214285721</v>
      </c>
      <c r="E20" s="17" t="n">
        <v>344850.3214285721</v>
      </c>
    </row>
    <row r="21">
      <c r="A21" s="10" t="inlineStr">
        <is>
          <t>2026-04-22 10:00:00</t>
        </is>
      </c>
      <c r="B21" s="17" t="n">
        <v>332576.7142857148</v>
      </c>
      <c r="C21" s="17" t="n">
        <v>333229.9642857148</v>
      </c>
      <c r="D21" s="17" t="n">
        <v>344850.3214285721</v>
      </c>
      <c r="E21" s="17" t="n">
        <v>345771.5714285722</v>
      </c>
    </row>
    <row r="22">
      <c r="A22" s="10" t="inlineStr">
        <is>
          <t>2026-04-22 11:15:00</t>
        </is>
      </c>
      <c r="B22" s="17" t="n">
        <v>337450.3214285719</v>
      </c>
      <c r="C22" s="17" t="n">
        <v>337450.3214285719</v>
      </c>
      <c r="D22" s="17" t="n">
        <v>351723.3571428577</v>
      </c>
      <c r="E22" s="17" t="n">
        <v>351723.3571428577</v>
      </c>
    </row>
    <row r="23">
      <c r="A23" s="10" t="inlineStr">
        <is>
          <t>2026-06-03 10:00:00</t>
        </is>
      </c>
      <c r="B23" s="17" t="n">
        <v>337450.3214285719</v>
      </c>
      <c r="C23" s="17" t="n">
        <v>337176.5000000003</v>
      </c>
      <c r="D23" s="17" t="n">
        <v>351723.3571428577</v>
      </c>
      <c r="E23" s="17" t="n">
        <v>351342.6785714289</v>
      </c>
    </row>
    <row r="24">
      <c r="A24" s="10" t="inlineStr">
        <is>
          <t>2026-06-03 11:15:00</t>
        </is>
      </c>
      <c r="B24" s="17" t="n">
        <v>351249.7500000003</v>
      </c>
      <c r="C24" s="17" t="n">
        <v>351249.7500000003</v>
      </c>
      <c r="D24" s="17" t="n">
        <v>370907.928571429</v>
      </c>
      <c r="E24" s="17" t="n">
        <v>370907.928571429</v>
      </c>
    </row>
    <row r="25">
      <c r="A25" s="10" t="inlineStr">
        <is>
          <t>2026-06-22 11:15:00</t>
        </is>
      </c>
      <c r="B25" s="17" t="n">
        <v>351249.7500000003</v>
      </c>
      <c r="C25" s="17" t="n">
        <v>352290.7500000005</v>
      </c>
      <c r="D25" s="17" t="n">
        <v>370907.928571429</v>
      </c>
      <c r="E25" s="17" t="n">
        <v>372122.4285714292</v>
      </c>
    </row>
    <row r="26">
      <c r="A26" s="10" t="inlineStr">
        <is>
          <t>2026-06-22 14:15:00</t>
        </is>
      </c>
      <c r="B26" s="17" t="n">
        <v>369360.7500000003</v>
      </c>
      <c r="C26" s="17" t="n">
        <v>369360.7500000003</v>
      </c>
      <c r="D26" s="17" t="n">
        <v>392037.4285714289</v>
      </c>
      <c r="E26" s="17" t="n">
        <v>392037.4285714289</v>
      </c>
    </row>
    <row r="27">
      <c r="A27" s="10" t="inlineStr">
        <is>
          <t>2026-06-29 10:00:00</t>
        </is>
      </c>
      <c r="B27" s="17" t="n">
        <v>369360.7500000003</v>
      </c>
      <c r="C27" s="17" t="n">
        <v>371300.3571428577</v>
      </c>
      <c r="D27" s="17" t="n">
        <v>392037.4285714289</v>
      </c>
      <c r="E27" s="17" t="n">
        <v>394608.5357142865</v>
      </c>
    </row>
    <row r="28">
      <c r="A28" s="10" t="inlineStr">
        <is>
          <t>2026-06-29 11:15:00</t>
        </is>
      </c>
      <c r="B28" s="17" t="n">
        <v>377460.1071428572</v>
      </c>
      <c r="C28" s="17" t="n">
        <v>377460.1071428572</v>
      </c>
      <c r="D28" s="17" t="n">
        <v>402773.7857142858</v>
      </c>
      <c r="E28" s="17" t="n">
        <v>402773.7857142858</v>
      </c>
    </row>
    <row r="29">
      <c r="A29" s="10" t="inlineStr">
        <is>
          <t>2026-07-08 14:15:00</t>
        </is>
      </c>
      <c r="B29" s="17" t="n">
        <v>377460.1071428572</v>
      </c>
      <c r="C29" s="17" t="n">
        <v>374948.1428571427</v>
      </c>
      <c r="D29" s="17" t="n">
        <v>402773.7857142858</v>
      </c>
      <c r="E29" s="17" t="n">
        <v>399871.0714285712</v>
      </c>
    </row>
    <row r="30">
      <c r="A30" s="10" t="inlineStr">
        <is>
          <t>2026-07-10 14:15:00</t>
        </is>
      </c>
      <c r="B30" s="17" t="n">
        <v>387061.1785714284</v>
      </c>
      <c r="C30" s="17" t="n">
        <v>387061.1785714284</v>
      </c>
      <c r="D30" s="17" t="n">
        <v>413868.357142857</v>
      </c>
      <c r="E30" s="17" t="n">
        <v>413868.357142857</v>
      </c>
    </row>
    <row r="31">
      <c r="A31" s="10" t="inlineStr">
        <is>
          <t>2026-08-03 10:00:00</t>
        </is>
      </c>
      <c r="B31" s="17" t="n">
        <v>387061.1785714284</v>
      </c>
      <c r="C31" s="17" t="n">
        <v>387183.7142857143</v>
      </c>
      <c r="D31" s="17" t="n">
        <v>413868.357142857</v>
      </c>
      <c r="E31" s="17" t="n">
        <v>414037.8214285715</v>
      </c>
    </row>
    <row r="32">
      <c r="A32" s="10" t="inlineStr">
        <is>
          <t>2026-08-04 11:15:00</t>
        </is>
      </c>
      <c r="B32" s="17" t="n">
        <v>395116.6428571427</v>
      </c>
      <c r="C32" s="17" t="n">
        <v>395116.6428571427</v>
      </c>
      <c r="D32" s="17" t="n">
        <v>425008.8928571427</v>
      </c>
      <c r="E32" s="17" t="n">
        <v>425008.8928571427</v>
      </c>
    </row>
    <row r="33">
      <c r="A33" s="10" t="inlineStr">
        <is>
          <t>2026-08-14 14:15:00</t>
        </is>
      </c>
      <c r="B33" s="17" t="n">
        <v>387603.3571428568</v>
      </c>
      <c r="C33" s="17" t="n">
        <v>387603.3571428568</v>
      </c>
      <c r="D33" s="17" t="n">
        <v>414138.6071428568</v>
      </c>
      <c r="E33" s="17" t="n">
        <v>414138.6071428568</v>
      </c>
    </row>
    <row r="34">
      <c r="A34" s="10" t="inlineStr">
        <is>
          <t>2026-08-19 10:00:00</t>
        </is>
      </c>
      <c r="B34" s="17" t="n">
        <v>387603.3571428568</v>
      </c>
      <c r="C34" s="17" t="n">
        <v>392882.4642857139</v>
      </c>
      <c r="D34" s="17" t="n">
        <v>414138.6071428568</v>
      </c>
      <c r="E34" s="17" t="n">
        <v>421214.8571428566</v>
      </c>
    </row>
    <row r="35">
      <c r="A35" s="10" t="inlineStr">
        <is>
          <t>2026-08-19 11:15:00</t>
        </is>
      </c>
      <c r="B35" s="17" t="n">
        <v>405184.7142857139</v>
      </c>
      <c r="C35" s="17" t="n">
        <v>405184.7142857139</v>
      </c>
      <c r="D35" s="17" t="n">
        <v>437705.1071428566</v>
      </c>
      <c r="E35" s="17" t="n">
        <v>437705.1071428566</v>
      </c>
    </row>
    <row r="36">
      <c r="A36" s="10" t="inlineStr">
        <is>
          <t>2026-09-08 14:15:00</t>
        </is>
      </c>
      <c r="B36" s="17" t="n">
        <v>394468.6428571425</v>
      </c>
      <c r="C36" s="17" t="n">
        <v>394468.6428571425</v>
      </c>
      <c r="D36" s="17" t="n">
        <v>423559.8928571425</v>
      </c>
      <c r="E36" s="17" t="n">
        <v>423559.8928571425</v>
      </c>
    </row>
    <row r="37">
      <c r="A37" s="10" t="inlineStr">
        <is>
          <t>2026-09-10 14:15:00</t>
        </is>
      </c>
      <c r="B37" s="17" t="n">
        <v>394468.6428571425</v>
      </c>
      <c r="C37" s="17" t="n">
        <v>386858.9285714281</v>
      </c>
      <c r="D37" s="17" t="n">
        <v>423559.8928571425</v>
      </c>
      <c r="E37" s="17" t="n">
        <v>415453.8928571424</v>
      </c>
    </row>
    <row r="38">
      <c r="A38" s="10" t="inlineStr">
        <is>
          <t>2026-09-10 15:00:00</t>
        </is>
      </c>
      <c r="B38" s="17" t="n">
        <v>405515.214285714</v>
      </c>
      <c r="C38" s="17" t="n">
        <v>405515.214285714</v>
      </c>
      <c r="D38" s="17" t="n">
        <v>435326.8928571425</v>
      </c>
      <c r="E38" s="17" t="n">
        <v>435326.8928571425</v>
      </c>
    </row>
    <row r="39">
      <c r="A39" s="10" t="inlineStr">
        <is>
          <t>2026-09-23 10:00:00</t>
        </is>
      </c>
      <c r="B39" s="17" t="n">
        <v>405515.214285714</v>
      </c>
      <c r="C39" s="17" t="n">
        <v>402515.214285714</v>
      </c>
      <c r="D39" s="17" t="n">
        <v>435326.8928571425</v>
      </c>
      <c r="E39" s="17" t="n">
        <v>431426.8928571425</v>
      </c>
    </row>
    <row r="40">
      <c r="A40" s="10" t="inlineStr">
        <is>
          <t>2026-09-30 10:00:00</t>
        </is>
      </c>
      <c r="B40" s="17" t="n">
        <v>424665.214285714</v>
      </c>
      <c r="C40" s="17" t="n">
        <v>424665.214285714</v>
      </c>
      <c r="D40" s="17" t="n">
        <v>460221.8928571425</v>
      </c>
      <c r="E40" s="17" t="n">
        <v>460221.8928571425</v>
      </c>
    </row>
    <row r="41">
      <c r="A41" s="10" t="inlineStr">
        <is>
          <t>2026-09-30 11:15:00</t>
        </is>
      </c>
      <c r="B41" s="17" t="n">
        <v>424665.214285714</v>
      </c>
      <c r="C41" s="17" t="n">
        <v>426738.4285714282</v>
      </c>
      <c r="D41" s="17" t="n">
        <v>460221.8928571425</v>
      </c>
      <c r="E41" s="17" t="n">
        <v>463373.1785714281</v>
      </c>
    </row>
    <row r="42">
      <c r="A42" s="10" t="inlineStr">
        <is>
          <t>2026-09-30 14:15:00</t>
        </is>
      </c>
      <c r="B42" s="17" t="n">
        <v>441047.3571428569</v>
      </c>
      <c r="C42" s="17" t="n">
        <v>441047.3571428569</v>
      </c>
      <c r="D42" s="17" t="n">
        <v>485122.7499999998</v>
      </c>
      <c r="E42" s="17" t="n">
        <v>485122.7499999998</v>
      </c>
    </row>
    <row r="43">
      <c r="A43" s="10" t="inlineStr">
        <is>
          <t>2026-10-08 10:00:00</t>
        </is>
      </c>
      <c r="B43" s="17" t="n">
        <v>427741.9999999998</v>
      </c>
      <c r="C43" s="17" t="n">
        <v>427741.9999999998</v>
      </c>
      <c r="D43" s="17" t="n">
        <v>469688.5357142855</v>
      </c>
      <c r="E43" s="17" t="n">
        <v>469688.5357142855</v>
      </c>
    </row>
    <row r="45">
      <c r="A45" s="3" t="inlineStr">
        <is>
          <t>关键指标</t>
        </is>
      </c>
    </row>
    <row r="46" ht="32" customHeight="1">
      <c r="A46" s="6" t="inlineStr">
        <is>
          <t>指标</t>
        </is>
      </c>
      <c r="B46" s="6" t="inlineStr">
        <is>
          <t>优化前</t>
        </is>
      </c>
      <c r="C46" s="6" t="inlineStr">
        <is>
          <t>★推荐</t>
        </is>
      </c>
    </row>
    <row r="47">
      <c r="A47" s="10" t="inlineStr">
        <is>
          <t>成交笔数</t>
        </is>
      </c>
      <c r="B47" s="12" t="n">
        <v>23</v>
      </c>
      <c r="C47" s="12" t="n">
        <v>23</v>
      </c>
    </row>
    <row r="48">
      <c r="A48" s="10" t="inlineStr">
        <is>
          <t>胜率</t>
        </is>
      </c>
      <c r="B48" s="13" t="n">
        <v>0.7391304347826088</v>
      </c>
      <c r="C48" s="13" t="n">
        <v>0.7391304347826088</v>
      </c>
    </row>
    <row r="49">
      <c r="A49" s="10" t="inlineStr">
        <is>
          <t>盈亏比 PF</t>
        </is>
      </c>
      <c r="B49" s="14" t="n">
        <v>3.615583182874871</v>
      </c>
      <c r="C49" s="14" t="n">
        <v>3.650127813329517</v>
      </c>
    </row>
    <row r="50">
      <c r="A50" s="10" t="inlineStr">
        <is>
          <t>终值(元)</t>
        </is>
      </c>
      <c r="B50" s="17" t="n">
        <v>427741.9999999998</v>
      </c>
      <c r="C50" s="17" t="n">
        <v>469688.5357142855</v>
      </c>
    </row>
    <row r="51">
      <c r="A51" s="10" t="inlineStr">
        <is>
          <t>收益率</t>
        </is>
      </c>
      <c r="B51" s="18" t="n">
        <v>0.425806666666666</v>
      </c>
      <c r="C51" s="18" t="n">
        <v>0.5656284523809516</v>
      </c>
    </row>
    <row r="52">
      <c r="A52" s="10" t="inlineStr">
        <is>
          <t>年化</t>
        </is>
      </c>
      <c r="B52" s="18" t="n">
        <v>0.5205884766202795</v>
      </c>
      <c r="C52" s="18" t="n">
        <v>0.698286137065727</v>
      </c>
    </row>
    <row r="53">
      <c r="A53" s="10" t="inlineStr">
        <is>
          <t>最大回撤%</t>
        </is>
      </c>
      <c r="B53" s="16" t="n">
        <v>0.03016763829864067</v>
      </c>
      <c r="C53" s="16" t="n">
        <v>0.03181507007394369</v>
      </c>
    </row>
    <row r="54">
      <c r="A54" s="10" t="inlineStr">
        <is>
          <t>含浮亏回撤%</t>
        </is>
      </c>
      <c r="B54" s="16" t="n">
        <v>0.04155060770118151</v>
      </c>
      <c r="C54" s="16" t="n">
        <v>0.04586718368848765</v>
      </c>
    </row>
    <row r="55">
      <c r="A55" s="10" t="inlineStr">
        <is>
          <t>Calmar</t>
        </is>
      </c>
      <c r="B55" s="14" t="n">
        <v>17.25652076131318</v>
      </c>
      <c r="C55" s="14" t="n">
        <v>21.94828222734666</v>
      </c>
    </row>
    <row r="56">
      <c r="A56" s="10" t="inlineStr">
        <is>
          <t>Sharpe</t>
        </is>
      </c>
      <c r="B56" s="14" t="n">
        <v>8.52995573655028</v>
      </c>
      <c r="C56" s="14" t="n">
        <v>8.565816292233869</v>
      </c>
    </row>
    <row r="57">
      <c r="A57" s="10" t="inlineStr">
        <is>
          <t>均手</t>
        </is>
      </c>
      <c r="B57" s="14" t="n">
        <v>42.34782608695652</v>
      </c>
      <c r="C57" s="14" t="n">
        <v>56.34782608695652</v>
      </c>
    </row>
    <row r="58">
      <c r="A58" s="10" t="inlineStr">
        <is>
          <t>保证金峰值%</t>
        </is>
      </c>
      <c r="B58" s="13" t="n">
        <v>0.5995694027380111</v>
      </c>
      <c r="C58" s="13" t="n">
        <v>0.7922938042386857</v>
      </c>
    </row>
    <row r="59">
      <c r="A59" s="10" t="inlineStr">
        <is>
          <t>最长连亏笔数</t>
        </is>
      </c>
      <c r="B59" s="12" t="n">
        <v>1</v>
      </c>
      <c r="C59" s="12" t="n">
        <v>1</v>
      </c>
    </row>
    <row r="60">
      <c r="A60" s="10" t="inlineStr">
        <is>
          <t>出场：移动止盈%</t>
        </is>
      </c>
      <c r="B60" s="13" t="n">
        <v>0.7391304347826088</v>
      </c>
      <c r="C60" s="11" t="inlineStr"/>
    </row>
    <row r="61">
      <c r="A61" s="10" t="inlineStr">
        <is>
          <t>出场：初始止损%</t>
        </is>
      </c>
      <c r="B61" s="13" t="n">
        <v>0.2608695652173913</v>
      </c>
      <c r="C61" s="11" t="inlineStr"/>
    </row>
    <row r="62">
      <c r="A62" s="10" t="inlineStr">
        <is>
          <t>出场：到达目标%</t>
        </is>
      </c>
      <c r="B62" s="13" t="n">
        <v>0</v>
      </c>
      <c r="C62" s="11" t="inlineStr"/>
    </row>
  </sheetData>
  <mergeCells count="3">
    <mergeCell ref="A45:F45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9" t="inlineStr">
        <is>
          <t>烧碱（SH2611）· 独立账户 30 万 · D 方案 3% · 60 分钟 ★优选</t>
        </is>
      </c>
    </row>
    <row r="2">
      <c r="A2" s="2" t="inlineStr">
        <is>
          <t>「含浮亏」= 已实现权益 + 在持仓浮亏（浮亏按初始止损价截断）</t>
        </is>
      </c>
    </row>
    <row r="3" ht="32" customHeight="1">
      <c r="A3" s="6" t="inlineStr">
        <is>
          <t>时间</t>
        </is>
      </c>
      <c r="B3" s="6" t="inlineStr">
        <is>
          <t>优化前·已实现权益</t>
        </is>
      </c>
      <c r="C3" s="6" t="inlineStr">
        <is>
          <t>优化前·含浮亏</t>
        </is>
      </c>
      <c r="D3" s="6" t="inlineStr">
        <is>
          <t>★推荐·已实现权益</t>
        </is>
      </c>
      <c r="E3" s="6" t="inlineStr">
        <is>
          <t>★推荐·含浮亏</t>
        </is>
      </c>
    </row>
    <row r="4">
      <c r="A4" s="10" t="inlineStr">
        <is>
          <t>2026-02-05 15:00:00</t>
        </is>
      </c>
      <c r="B4" s="17" t="n">
        <v>300000</v>
      </c>
      <c r="C4" s="17" t="n">
        <v>297291.4285714285</v>
      </c>
      <c r="D4" s="17" t="n">
        <v>300000</v>
      </c>
      <c r="E4" s="17" t="n">
        <v>296275.7142857141</v>
      </c>
    </row>
    <row r="5">
      <c r="A5" s="10" t="inlineStr">
        <is>
          <t>2026-02-05 22:00:00</t>
        </is>
      </c>
      <c r="B5" s="17" t="n">
        <v>292732.5565714285</v>
      </c>
      <c r="C5" s="17" t="n">
        <v>292732.5565714285</v>
      </c>
      <c r="D5" s="17" t="n">
        <v>290007.2652857142</v>
      </c>
      <c r="E5" s="17" t="n">
        <v>290007.2652857142</v>
      </c>
    </row>
    <row r="6">
      <c r="A6" s="10" t="inlineStr">
        <is>
          <t>2026-02-12 22:00:00</t>
        </is>
      </c>
      <c r="B6" s="17" t="n">
        <v>292732.5565714285</v>
      </c>
      <c r="C6" s="17" t="n">
        <v>286506.2708571429</v>
      </c>
      <c r="D6" s="17" t="n">
        <v>290007.2652857142</v>
      </c>
      <c r="E6" s="17" t="n">
        <v>283002.6938571428</v>
      </c>
    </row>
    <row r="7">
      <c r="A7" s="10" t="inlineStr">
        <is>
          <t>2026-02-12 23:00:00</t>
        </is>
      </c>
      <c r="B7" s="17" t="n">
        <v>299262.1683428571</v>
      </c>
      <c r="C7" s="17" t="n">
        <v>299262.1683428571</v>
      </c>
      <c r="D7" s="17" t="n">
        <v>297353.0785285714</v>
      </c>
      <c r="E7" s="17" t="n">
        <v>297353.0785285714</v>
      </c>
    </row>
    <row r="8">
      <c r="A8" s="10" t="inlineStr">
        <is>
          <t>2026-02-24 10:00:00</t>
        </is>
      </c>
      <c r="B8" s="17" t="n">
        <v>289802.4745928571</v>
      </c>
      <c r="C8" s="17" t="n">
        <v>289802.4745928571</v>
      </c>
      <c r="D8" s="17" t="n">
        <v>287893.3847785714</v>
      </c>
      <c r="E8" s="17" t="n">
        <v>287893.3847785714</v>
      </c>
    </row>
    <row r="9">
      <c r="A9" s="10" t="inlineStr">
        <is>
          <t>2026-03-03 15:00:00</t>
        </is>
      </c>
      <c r="B9" s="17" t="n">
        <v>289802.4745928571</v>
      </c>
      <c r="C9" s="17" t="n">
        <v>291301.1888785714</v>
      </c>
      <c r="D9" s="17" t="n">
        <v>287893.3847785714</v>
      </c>
      <c r="E9" s="17" t="n">
        <v>289392.0990642857</v>
      </c>
    </row>
    <row r="10">
      <c r="A10" s="10" t="inlineStr">
        <is>
          <t>2026-03-03 22:00:00</t>
        </is>
      </c>
      <c r="B10" s="17" t="n">
        <v>305419.2326142857</v>
      </c>
      <c r="C10" s="17" t="n">
        <v>305419.2326142857</v>
      </c>
      <c r="D10" s="17" t="n">
        <v>303510.1428</v>
      </c>
      <c r="E10" s="17" t="n">
        <v>303510.1428</v>
      </c>
    </row>
    <row r="11">
      <c r="A11" s="10" t="inlineStr">
        <is>
          <t>2026-03-05 10:00:00</t>
        </is>
      </c>
      <c r="B11" s="17" t="n">
        <v>305419.2326142857</v>
      </c>
      <c r="C11" s="17" t="n">
        <v>300933.5897571429</v>
      </c>
      <c r="D11" s="17" t="n">
        <v>303510.1428</v>
      </c>
      <c r="E11" s="17" t="n">
        <v>299024.4999428571</v>
      </c>
    </row>
    <row r="12">
      <c r="A12" s="10" t="inlineStr">
        <is>
          <t>2026-03-05 11:15:00</t>
        </is>
      </c>
      <c r="B12" s="17" t="n">
        <v>313739.5739999999</v>
      </c>
      <c r="C12" s="17" t="n">
        <v>313739.5739999999</v>
      </c>
      <c r="D12" s="17" t="n">
        <v>311830.4841857142</v>
      </c>
      <c r="E12" s="17" t="n">
        <v>311830.4841857142</v>
      </c>
    </row>
    <row r="13">
      <c r="A13" s="10" t="inlineStr">
        <is>
          <t>2026-03-20 22:00:00</t>
        </is>
      </c>
      <c r="B13" s="17" t="n">
        <v>313739.5739999999</v>
      </c>
      <c r="C13" s="17" t="n">
        <v>310613.6811428571</v>
      </c>
      <c r="D13" s="17" t="n">
        <v>311830.4841857142</v>
      </c>
      <c r="E13" s="17" t="n">
        <v>308704.5913285714</v>
      </c>
    </row>
    <row r="14">
      <c r="A14" s="10" t="inlineStr">
        <is>
          <t>2026-03-20 23:00:00</t>
        </is>
      </c>
      <c r="B14" s="17" t="n">
        <v>321945.8214107141</v>
      </c>
      <c r="C14" s="17" t="n">
        <v>321945.8214107141</v>
      </c>
      <c r="D14" s="17" t="n">
        <v>320036.7315964283</v>
      </c>
      <c r="E14" s="17" t="n">
        <v>320036.7315964283</v>
      </c>
    </row>
    <row r="15">
      <c r="A15" s="10" t="inlineStr">
        <is>
          <t>2026-03-31 15:00:00</t>
        </is>
      </c>
      <c r="B15" s="17" t="n">
        <v>321945.8214107141</v>
      </c>
      <c r="C15" s="17" t="n">
        <v>323723.5356964284</v>
      </c>
      <c r="D15" s="17" t="n">
        <v>320036.7315964283</v>
      </c>
      <c r="E15" s="17" t="n">
        <v>321814.4458821427</v>
      </c>
    </row>
    <row r="16">
      <c r="A16" s="10" t="inlineStr">
        <is>
          <t>2026-03-31 22:00:00</t>
        </is>
      </c>
      <c r="B16" s="17" t="n">
        <v>311551.3531821425</v>
      </c>
      <c r="C16" s="17" t="n">
        <v>311551.3531821425</v>
      </c>
      <c r="D16" s="17" t="n">
        <v>309642.2633678568</v>
      </c>
      <c r="E16" s="17" t="n">
        <v>309642.2633678568</v>
      </c>
    </row>
    <row r="17">
      <c r="A17" s="10" t="inlineStr">
        <is>
          <t>2026-04-20 22:00:00</t>
        </is>
      </c>
      <c r="B17" s="17" t="n">
        <v>311551.3531821425</v>
      </c>
      <c r="C17" s="17" t="n">
        <v>315512.9603249998</v>
      </c>
      <c r="D17" s="17" t="n">
        <v>309642.2633678568</v>
      </c>
      <c r="E17" s="17" t="n">
        <v>313603.870510714</v>
      </c>
    </row>
    <row r="18">
      <c r="A18" s="10" t="inlineStr">
        <is>
          <t>2026-04-20 23:00:00</t>
        </is>
      </c>
      <c r="B18" s="17" t="n">
        <v>319497.0457178568</v>
      </c>
      <c r="C18" s="17" t="n">
        <v>319497.0457178568</v>
      </c>
      <c r="D18" s="17" t="n">
        <v>317587.9559035711</v>
      </c>
      <c r="E18" s="17" t="n">
        <v>317587.9559035711</v>
      </c>
    </row>
    <row r="19">
      <c r="A19" s="10" t="inlineStr">
        <is>
          <t>2026-04-30 11:15:00</t>
        </is>
      </c>
      <c r="B19" s="17" t="n">
        <v>310657.2873749997</v>
      </c>
      <c r="C19" s="17" t="n">
        <v>310657.2873749997</v>
      </c>
      <c r="D19" s="17" t="n">
        <v>307274.904503571</v>
      </c>
      <c r="E19" s="17" t="n">
        <v>307274.904503571</v>
      </c>
    </row>
    <row r="20">
      <c r="A20" s="10" t="inlineStr">
        <is>
          <t>2026-05-12 22:00:00</t>
        </is>
      </c>
      <c r="B20" s="17" t="n">
        <v>310657.2873749997</v>
      </c>
      <c r="C20" s="17" t="n">
        <v>306378.7516607138</v>
      </c>
      <c r="D20" s="17" t="n">
        <v>307274.904503571</v>
      </c>
      <c r="E20" s="17" t="n">
        <v>301486.2973607137</v>
      </c>
    </row>
    <row r="21">
      <c r="A21" s="10" t="inlineStr">
        <is>
          <t>2026-05-13 15:00:00</t>
        </is>
      </c>
      <c r="B21" s="17" t="n">
        <v>316193.6399142853</v>
      </c>
      <c r="C21" s="17" t="n">
        <v>316193.6399142853</v>
      </c>
      <c r="D21" s="17" t="n">
        <v>314765.263821428</v>
      </c>
      <c r="E21" s="17" t="n">
        <v>314765.263821428</v>
      </c>
    </row>
    <row r="22">
      <c r="A22" s="10" t="inlineStr">
        <is>
          <t>2026-06-11 11:15:00</t>
        </is>
      </c>
      <c r="B22" s="17" t="n">
        <v>316193.6399142853</v>
      </c>
      <c r="C22" s="17" t="n">
        <v>317998.4613428566</v>
      </c>
      <c r="D22" s="17" t="n">
        <v>314765.263821428</v>
      </c>
      <c r="E22" s="17" t="n">
        <v>316570.0852499994</v>
      </c>
    </row>
    <row r="23">
      <c r="A23" s="10" t="inlineStr">
        <is>
          <t>2026-06-11 14:15:00</t>
        </is>
      </c>
      <c r="B23" s="17" t="n">
        <v>333634.6807714281</v>
      </c>
      <c r="C23" s="17" t="n">
        <v>333634.6807714281</v>
      </c>
      <c r="D23" s="17" t="n">
        <v>332206.3046785708</v>
      </c>
      <c r="E23" s="17" t="n">
        <v>332206.3046785708</v>
      </c>
    </row>
    <row r="24">
      <c r="A24" s="10" t="inlineStr">
        <is>
          <t>2026-06-17 22:00:00</t>
        </is>
      </c>
      <c r="B24" s="17" t="n">
        <v>333634.6807714281</v>
      </c>
      <c r="C24" s="17" t="n">
        <v>340506.8236285708</v>
      </c>
      <c r="D24" s="17" t="n">
        <v>332206.3046785708</v>
      </c>
      <c r="E24" s="17" t="n">
        <v>339078.4475357136</v>
      </c>
    </row>
    <row r="25">
      <c r="A25" s="10" t="inlineStr">
        <is>
          <t>2026-06-17 23:00:00</t>
        </is>
      </c>
      <c r="B25" s="17" t="n">
        <v>342326.3722714282</v>
      </c>
      <c r="C25" s="17" t="n">
        <v>342326.3722714282</v>
      </c>
      <c r="D25" s="17" t="n">
        <v>340897.996178571</v>
      </c>
      <c r="E25" s="17" t="n">
        <v>340897.996178571</v>
      </c>
    </row>
    <row r="26">
      <c r="A26" s="10" t="inlineStr">
        <is>
          <t>2026-07-08 10:00:00</t>
        </is>
      </c>
      <c r="B26" s="17" t="n">
        <v>342326.3722714282</v>
      </c>
      <c r="C26" s="17" t="n">
        <v>340407.4436999997</v>
      </c>
      <c r="D26" s="17" t="n">
        <v>340897.996178571</v>
      </c>
      <c r="E26" s="17" t="n">
        <v>338979.0676071424</v>
      </c>
    </row>
    <row r="27">
      <c r="A27" s="10" t="inlineStr">
        <is>
          <t>2026-07-08 11:15:00</t>
        </is>
      </c>
      <c r="B27" s="17" t="n">
        <v>351768.5123785711</v>
      </c>
      <c r="C27" s="17" t="n">
        <v>351768.5123785711</v>
      </c>
      <c r="D27" s="17" t="n">
        <v>350340.1362857139</v>
      </c>
      <c r="E27" s="17" t="n">
        <v>350340.1362857139</v>
      </c>
    </row>
    <row r="28">
      <c r="A28" s="10" t="inlineStr">
        <is>
          <t>2026-07-16 15:00:00</t>
        </is>
      </c>
      <c r="B28" s="17" t="n">
        <v>351768.5123785711</v>
      </c>
      <c r="C28" s="17" t="n">
        <v>352083.9409499997</v>
      </c>
      <c r="D28" s="17" t="n">
        <v>350340.1362857139</v>
      </c>
      <c r="E28" s="17" t="n">
        <v>350655.5648571425</v>
      </c>
    </row>
    <row r="29">
      <c r="A29" s="10" t="inlineStr">
        <is>
          <t>2026-07-16 22:00:00</t>
        </is>
      </c>
      <c r="B29" s="17" t="n">
        <v>340807.8219214283</v>
      </c>
      <c r="C29" s="17" t="n">
        <v>340807.8219214283</v>
      </c>
      <c r="D29" s="17" t="n">
        <v>339379.445828571</v>
      </c>
      <c r="E29" s="17" t="n">
        <v>339379.445828571</v>
      </c>
    </row>
    <row r="30">
      <c r="A30" s="10" t="inlineStr">
        <is>
          <t>2026-07-28 11:15:00</t>
        </is>
      </c>
      <c r="B30" s="17" t="n">
        <v>340807.8219214283</v>
      </c>
      <c r="C30" s="17" t="n">
        <v>342143.2504928569</v>
      </c>
      <c r="D30" s="17" t="n">
        <v>339379.445828571</v>
      </c>
      <c r="E30" s="17" t="n">
        <v>340714.8743999996</v>
      </c>
    </row>
    <row r="31">
      <c r="A31" s="10" t="inlineStr">
        <is>
          <t>2026-07-28 23:00:00</t>
        </is>
      </c>
      <c r="B31" s="17" t="n">
        <v>350051.018035714</v>
      </c>
      <c r="C31" s="17" t="n">
        <v>350051.018035714</v>
      </c>
      <c r="D31" s="17" t="n">
        <v>348622.6419428567</v>
      </c>
      <c r="E31" s="17" t="n">
        <v>348622.6419428567</v>
      </c>
    </row>
    <row r="32">
      <c r="A32" s="10" t="inlineStr">
        <is>
          <t>2026-08-06 11:15:00</t>
        </is>
      </c>
      <c r="B32" s="17" t="n">
        <v>350051.018035714</v>
      </c>
      <c r="C32" s="17" t="n">
        <v>353879.8751785711</v>
      </c>
      <c r="D32" s="17" t="n">
        <v>348622.6419428567</v>
      </c>
      <c r="E32" s="17" t="n">
        <v>352451.4990857138</v>
      </c>
    </row>
    <row r="33">
      <c r="A33" s="10" t="inlineStr">
        <is>
          <t>2026-08-06 14:15:00</t>
        </is>
      </c>
      <c r="B33" s="17" t="n">
        <v>359097.1677214282</v>
      </c>
      <c r="C33" s="17" t="n">
        <v>359097.1677214282</v>
      </c>
      <c r="D33" s="17" t="n">
        <v>357668.7916285709</v>
      </c>
      <c r="E33" s="17" t="n">
        <v>357668.7916285709</v>
      </c>
    </row>
    <row r="34">
      <c r="A34" s="10" t="inlineStr">
        <is>
          <t>2026-08-18 11:15:00</t>
        </is>
      </c>
      <c r="B34" s="17" t="n">
        <v>359097.1677214282</v>
      </c>
      <c r="C34" s="17" t="n">
        <v>356018.9534357139</v>
      </c>
      <c r="D34" s="17" t="n">
        <v>357668.7916285709</v>
      </c>
      <c r="E34" s="17" t="n">
        <v>354590.5773428567</v>
      </c>
    </row>
    <row r="35">
      <c r="A35" s="10" t="inlineStr">
        <is>
          <t>2026-08-18 14:15:00</t>
        </is>
      </c>
      <c r="B35" s="17" t="n">
        <v>368956.0077749997</v>
      </c>
      <c r="C35" s="17" t="n">
        <v>368956.0077749997</v>
      </c>
      <c r="D35" s="17" t="n">
        <v>367527.6316821424</v>
      </c>
      <c r="E35" s="17" t="n">
        <v>367527.6316821424</v>
      </c>
    </row>
    <row r="36">
      <c r="A36" s="10" t="inlineStr">
        <is>
          <t>2026-08-27 10:00:00</t>
        </is>
      </c>
      <c r="B36" s="17" t="n">
        <v>368956.0077749997</v>
      </c>
      <c r="C36" s="17" t="n">
        <v>369428.5077749997</v>
      </c>
      <c r="D36" s="17" t="n">
        <v>367527.6316821424</v>
      </c>
      <c r="E36" s="17" t="n">
        <v>368000.1316821424</v>
      </c>
    </row>
    <row r="37">
      <c r="A37" s="10" t="inlineStr">
        <is>
          <t>2026-08-27 11:15:00</t>
        </is>
      </c>
      <c r="B37" s="17" t="n">
        <v>379062.518560714</v>
      </c>
      <c r="C37" s="17" t="n">
        <v>379062.518560714</v>
      </c>
      <c r="D37" s="17" t="n">
        <v>377634.1424678567</v>
      </c>
      <c r="E37" s="17" t="n">
        <v>377634.1424678567</v>
      </c>
    </row>
    <row r="38">
      <c r="A38" s="10" t="inlineStr">
        <is>
          <t>2026-09-04 14:15:00</t>
        </is>
      </c>
      <c r="B38" s="17" t="n">
        <v>379062.518560714</v>
      </c>
      <c r="C38" s="17" t="n">
        <v>386558.018560714</v>
      </c>
      <c r="D38" s="17" t="n">
        <v>377634.1424678567</v>
      </c>
      <c r="E38" s="17" t="n">
        <v>385129.6424678568</v>
      </c>
    </row>
    <row r="39">
      <c r="A39" s="10" t="inlineStr">
        <is>
          <t>2026-09-04 15:00:00</t>
        </is>
      </c>
      <c r="B39" s="17" t="n">
        <v>400511.5102607139</v>
      </c>
      <c r="C39" s="17" t="n">
        <v>400511.5102607139</v>
      </c>
      <c r="D39" s="17" t="n">
        <v>399083.1341678567</v>
      </c>
      <c r="E39" s="17" t="n">
        <v>399083.1341678567</v>
      </c>
    </row>
    <row r="40">
      <c r="A40" s="10" t="inlineStr">
        <is>
          <t>2026-09-14 14:15:00</t>
        </is>
      </c>
      <c r="B40" s="17" t="n">
        <v>400511.5102607139</v>
      </c>
      <c r="C40" s="17" t="n">
        <v>402326.510260714</v>
      </c>
      <c r="D40" s="17" t="n">
        <v>399083.1341678567</v>
      </c>
      <c r="E40" s="17" t="n">
        <v>400898.1341678567</v>
      </c>
    </row>
    <row r="41">
      <c r="A41" s="10" t="inlineStr">
        <is>
          <t>2026-09-23 22:00:00</t>
        </is>
      </c>
      <c r="B41" s="17" t="n">
        <v>388241.5395107139</v>
      </c>
      <c r="C41" s="17" t="n">
        <v>388241.5395107139</v>
      </c>
      <c r="D41" s="17" t="n">
        <v>386813.1634178566</v>
      </c>
      <c r="E41" s="17" t="n">
        <v>386813.1634178566</v>
      </c>
    </row>
    <row r="43">
      <c r="A43" s="3" t="inlineStr">
        <is>
          <t>关键指标</t>
        </is>
      </c>
    </row>
    <row r="44" ht="32" customHeight="1">
      <c r="A44" s="6" t="inlineStr">
        <is>
          <t>指标</t>
        </is>
      </c>
      <c r="B44" s="6" t="inlineStr">
        <is>
          <t>优化前</t>
        </is>
      </c>
      <c r="C44" s="6" t="inlineStr">
        <is>
          <t>★推荐</t>
        </is>
      </c>
    </row>
    <row r="45">
      <c r="A45" s="10" t="inlineStr">
        <is>
          <t>成交笔数</t>
        </is>
      </c>
      <c r="B45" s="12" t="n">
        <v>20</v>
      </c>
      <c r="C45" s="12" t="n">
        <v>20</v>
      </c>
    </row>
    <row r="46">
      <c r="A46" s="10" t="inlineStr">
        <is>
          <t>胜率</t>
        </is>
      </c>
      <c r="B46" s="13" t="n">
        <v>0.7</v>
      </c>
      <c r="C46" s="13" t="n">
        <v>0.7</v>
      </c>
    </row>
    <row r="47">
      <c r="A47" s="10" t="inlineStr">
        <is>
          <t>盈亏比 PF</t>
        </is>
      </c>
      <c r="B47" s="14" t="n">
        <v>2.490767372371593</v>
      </c>
      <c r="C47" s="14" t="n">
        <v>2.369495645751056</v>
      </c>
    </row>
    <row r="48">
      <c r="A48" s="10" t="inlineStr">
        <is>
          <t>终值(元)</t>
        </is>
      </c>
      <c r="B48" s="17" t="n">
        <v>388241.5395107139</v>
      </c>
      <c r="C48" s="17" t="n">
        <v>386813.1634178566</v>
      </c>
    </row>
    <row r="49">
      <c r="A49" s="10" t="inlineStr">
        <is>
          <t>收益率</t>
        </is>
      </c>
      <c r="B49" s="18" t="n">
        <v>0.2941384650357131</v>
      </c>
      <c r="C49" s="18" t="n">
        <v>0.2893772113928554</v>
      </c>
    </row>
    <row r="50">
      <c r="A50" s="10" t="inlineStr">
        <is>
          <t>年化</t>
        </is>
      </c>
      <c r="B50" s="18" t="n">
        <v>0.5048163632934719</v>
      </c>
      <c r="C50" s="18" t="n">
        <v>0.4960509799875659</v>
      </c>
    </row>
    <row r="51">
      <c r="A51" s="10" t="inlineStr">
        <is>
          <t>最大回撤%</t>
        </is>
      </c>
      <c r="B51" s="16" t="n">
        <v>0.03063575062302921</v>
      </c>
      <c r="C51" s="16" t="n">
        <v>0.03197786626455023</v>
      </c>
    </row>
    <row r="52">
      <c r="A52" s="10" t="inlineStr">
        <is>
          <t>含浮亏回撤%</t>
        </is>
      </c>
      <c r="B52" s="16" t="n">
        <v>0.04311121338853594</v>
      </c>
      <c r="C52" s="16" t="n">
        <v>0.05070651816233587</v>
      </c>
    </row>
    <row r="53">
      <c r="A53" s="10" t="inlineStr">
        <is>
          <t>Calmar</t>
        </is>
      </c>
      <c r="B53" s="14" t="n">
        <v>16.47801516291219</v>
      </c>
      <c r="C53" s="14" t="n">
        <v>15.51232267605904</v>
      </c>
    </row>
    <row r="54">
      <c r="A54" s="10" t="inlineStr">
        <is>
          <t>Sharpe</t>
        </is>
      </c>
      <c r="B54" s="14" t="n">
        <v>8.055851131963287</v>
      </c>
      <c r="C54" s="14" t="n">
        <v>8.053315034760095</v>
      </c>
    </row>
    <row r="55">
      <c r="A55" s="10" t="inlineStr">
        <is>
          <t>均手</t>
        </is>
      </c>
      <c r="B55" s="14" t="n">
        <v>16.1</v>
      </c>
      <c r="C55" s="14" t="n">
        <v>16.95</v>
      </c>
    </row>
    <row r="56">
      <c r="A56" s="10" t="inlineStr">
        <is>
          <t>保证金峰值%</t>
        </is>
      </c>
      <c r="B56" s="13" t="n">
        <v>0.5844471749273862</v>
      </c>
      <c r="C56" s="13" t="n">
        <v>0.7906756702567133</v>
      </c>
    </row>
    <row r="57">
      <c r="A57" s="10" t="inlineStr">
        <is>
          <t>最长连亏笔数</t>
        </is>
      </c>
      <c r="B57" s="12" t="n">
        <v>1</v>
      </c>
      <c r="C57" s="12" t="n">
        <v>1</v>
      </c>
    </row>
    <row r="58">
      <c r="A58" s="10" t="inlineStr">
        <is>
          <t>出场：移动止盈%</t>
        </is>
      </c>
      <c r="B58" s="13" t="n">
        <v>0.7</v>
      </c>
      <c r="C58" s="11" t="inlineStr"/>
    </row>
    <row r="59">
      <c r="A59" s="10" t="inlineStr">
        <is>
          <t>出场：初始止损%</t>
        </is>
      </c>
      <c r="B59" s="13" t="n">
        <v>0.3</v>
      </c>
      <c r="C59" s="11" t="inlineStr"/>
    </row>
    <row r="60">
      <c r="A60" s="10" t="inlineStr">
        <is>
          <t>出场：到达目标%</t>
        </is>
      </c>
      <c r="B60" s="13" t="n">
        <v>0</v>
      </c>
      <c r="C60" s="11" t="inlineStr"/>
    </row>
  </sheetData>
  <mergeCells count="3">
    <mergeCell ref="A2:F2"/>
    <mergeCell ref="A1:F1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8" customWidth="1" min="4" max="4"/>
    <col width="8" customWidth="1" min="5" max="5"/>
    <col width="9" customWidth="1" min="6" max="6"/>
    <col width="9" customWidth="1" min="7" max="7"/>
    <col width="8" customWidth="1" min="8" max="8"/>
    <col width="9" customWidth="1" min="9" max="9"/>
    <col width="10" customWidth="1" min="10" max="10"/>
    <col width="10" customWidth="1" min="11" max="11"/>
    <col width="6" customWidth="1" min="12" max="12"/>
    <col width="12" customWidth="1" min="13" max="13"/>
    <col width="13" customWidth="1" min="14" max="14"/>
    <col width="12" customWidth="1" min="15" max="15"/>
    <col width="8" customWidth="1" min="16" max="16"/>
    <col width="13" customWidth="1" min="17" max="17"/>
    <col width="12" customWidth="1" min="18" max="18"/>
    <col width="13" customWidth="1" min="19" max="19"/>
    <col width="13" customWidth="1" min="20" max="20"/>
  </cols>
  <sheetData>
    <row r="1">
      <c r="A1" s="9" t="inlineStr">
        <is>
          <t>纯碱 逐笔明细（★推荐资金参数）· D 方案 3% · 60 分钟 ★优选</t>
        </is>
      </c>
    </row>
    <row r="2">
      <c r="A2" s="2" t="inlineStr">
        <is>
          <t>手数 = 按当时权益的 3% 风险预算 ÷ 每手风险，并受保证金上限 80% 约束</t>
        </is>
      </c>
    </row>
    <row r="3" ht="32" customHeight="1">
      <c r="A3" s="6" t="inlineStr">
        <is>
          <t>#</t>
        </is>
      </c>
      <c r="B3" s="6" t="inlineStr">
        <is>
          <t>方向(开→平)</t>
        </is>
      </c>
      <c r="C3" s="6" t="inlineStr">
        <is>
          <t>开仓时间</t>
        </is>
      </c>
      <c r="D3" s="6" t="inlineStr">
        <is>
          <t>平仓时间</t>
        </is>
      </c>
      <c r="E3" s="6" t="inlineStr">
        <is>
          <t>持仓K线</t>
        </is>
      </c>
      <c r="F3" s="6" t="inlineStr">
        <is>
          <t>开仓价</t>
        </is>
      </c>
      <c r="G3" s="6" t="inlineStr">
        <is>
          <t>平仓价</t>
        </is>
      </c>
      <c r="H3" s="6" t="inlineStr">
        <is>
          <t>WV(点)</t>
        </is>
      </c>
      <c r="I3" s="6" t="inlineStr">
        <is>
          <t>成本(点)</t>
        </is>
      </c>
      <c r="J3" s="6" t="inlineStr">
        <is>
          <t>净盈亏(点)</t>
        </is>
      </c>
      <c r="K3" s="6" t="inlineStr">
        <is>
          <t>净盈亏(R)</t>
        </is>
      </c>
      <c r="L3" s="6" t="inlineStr">
        <is>
          <t>手数</t>
        </is>
      </c>
      <c r="M3" s="6" t="inlineStr">
        <is>
          <t>实际盈亏(元)</t>
        </is>
      </c>
      <c r="N3" s="6" t="inlineStr">
        <is>
          <t>保证金占用(元)</t>
        </is>
      </c>
      <c r="O3" s="6" t="inlineStr">
        <is>
          <t>单笔风险(元)</t>
        </is>
      </c>
      <c r="P3" s="6" t="inlineStr">
        <is>
          <t>风险%</t>
        </is>
      </c>
      <c r="Q3" s="6" t="inlineStr">
        <is>
          <t>平仓后权益</t>
        </is>
      </c>
      <c r="R3" s="6" t="inlineStr">
        <is>
          <t>出场原因</t>
        </is>
      </c>
      <c r="S3" s="6" t="inlineStr">
        <is>
          <t>最大浮亏(元)</t>
        </is>
      </c>
      <c r="T3" s="6" t="inlineStr">
        <is>
          <t>风险预算利用率</t>
        </is>
      </c>
    </row>
    <row r="4">
      <c r="A4" s="42" t="n">
        <v>1</v>
      </c>
      <c r="B4" s="42" t="inlineStr">
        <is>
          <t>开多→平多</t>
        </is>
      </c>
      <c r="C4" s="42" t="inlineStr">
        <is>
          <t>2026-02-06 23:00:00</t>
        </is>
      </c>
      <c r="D4" s="42" t="inlineStr">
        <is>
          <t>2026-02-09 15:00:00</t>
        </is>
      </c>
      <c r="E4" s="43" t="n">
        <v>4</v>
      </c>
      <c r="F4" s="42" t="n">
        <v>1285.210714285714</v>
      </c>
      <c r="G4" s="42" t="n">
        <v>1295.210714285714</v>
      </c>
      <c r="H4" s="44" t="n">
        <v>8</v>
      </c>
      <c r="I4" s="45" t="n">
        <v>1.274126428571428</v>
      </c>
      <c r="J4" s="45" t="n">
        <v>8.725873571428572</v>
      </c>
      <c r="K4" s="46" t="n">
        <v>1.090734196428572</v>
      </c>
      <c r="L4" s="43" t="n">
        <v>45</v>
      </c>
      <c r="M4" s="47" t="n">
        <v>7853.286214285716</v>
      </c>
      <c r="N4" s="47" t="n">
        <v>231337.9285714286</v>
      </c>
      <c r="O4" s="47" t="n">
        <v>9000</v>
      </c>
      <c r="P4" s="48" t="n">
        <v>0.03</v>
      </c>
      <c r="Q4" s="47" t="n">
        <v>307853.2862142857</v>
      </c>
      <c r="R4" s="42" t="inlineStr">
        <is>
          <t>移动止盈</t>
        </is>
      </c>
      <c r="S4" s="47" t="n">
        <v>-2889.642857142758</v>
      </c>
      <c r="T4" s="49" t="n">
        <v>1</v>
      </c>
    </row>
    <row r="5">
      <c r="A5" s="50" t="n">
        <v>2</v>
      </c>
      <c r="B5" s="50" t="inlineStr">
        <is>
          <t>开空→平空</t>
        </is>
      </c>
      <c r="C5" s="50" t="inlineStr">
        <is>
          <t>2026-02-27 22:00:00</t>
        </is>
      </c>
      <c r="D5" s="50" t="inlineStr">
        <is>
          <t>2026-02-27 22:00:00</t>
        </is>
      </c>
      <c r="E5" s="51" t="n">
        <v>0</v>
      </c>
      <c r="F5" s="50" t="n">
        <v>1304.085714285714</v>
      </c>
      <c r="G5" s="50" t="n">
        <v>1312.835714285714</v>
      </c>
      <c r="H5" s="52" t="n">
        <v>7</v>
      </c>
      <c r="I5" s="53" t="n">
        <v>1.285076428571428</v>
      </c>
      <c r="J5" s="53" t="n">
        <v>-10.03507642857143</v>
      </c>
      <c r="K5" s="54" t="n">
        <v>-1.433582346938776</v>
      </c>
      <c r="L5" s="51" t="n">
        <v>47</v>
      </c>
      <c r="M5" s="55" t="n">
        <v>-9432.971842857143</v>
      </c>
      <c r="N5" s="55" t="n">
        <v>245168.1142857143</v>
      </c>
      <c r="O5" s="55" t="n">
        <v>8225</v>
      </c>
      <c r="P5" s="56" t="n">
        <v>0.02671727205235961</v>
      </c>
      <c r="Q5" s="55" t="n">
        <v>298420.3143714286</v>
      </c>
      <c r="R5" s="50" t="inlineStr">
        <is>
          <t>初始止损</t>
        </is>
      </c>
      <c r="S5" s="55" t="n">
        <v>1020.571428571325</v>
      </c>
      <c r="T5" s="57" t="n">
        <v>0.8905757350786537</v>
      </c>
    </row>
    <row r="6">
      <c r="A6" s="42" t="n">
        <v>3</v>
      </c>
      <c r="B6" s="42" t="inlineStr">
        <is>
          <t>开多→平多</t>
        </is>
      </c>
      <c r="C6" s="42" t="inlineStr">
        <is>
          <t>2026-03-18 11:15:00</t>
        </is>
      </c>
      <c r="D6" s="42" t="inlineStr">
        <is>
          <t>2026-03-18 14:15:00</t>
        </is>
      </c>
      <c r="E6" s="43" t="n">
        <v>1</v>
      </c>
      <c r="F6" s="42" t="n">
        <v>1332.653571428571</v>
      </c>
      <c r="G6" s="42" t="n">
        <v>1347.207142857143</v>
      </c>
      <c r="H6" s="44" t="n">
        <v>11.64285714285714</v>
      </c>
      <c r="I6" s="45" t="n">
        <v>1.303958214285714</v>
      </c>
      <c r="J6" s="45" t="n">
        <v>13.24961321428584</v>
      </c>
      <c r="K6" s="46" t="n">
        <v>1.138003588957066</v>
      </c>
      <c r="L6" s="43" t="n">
        <v>30</v>
      </c>
      <c r="M6" s="47" t="n">
        <v>7949.767928571508</v>
      </c>
      <c r="N6" s="47" t="n">
        <v>159918.4285714286</v>
      </c>
      <c r="O6" s="47" t="n">
        <v>8732.142857142799</v>
      </c>
      <c r="P6" s="48" t="n">
        <v>0.02926122129297922</v>
      </c>
      <c r="Q6" s="47" t="n">
        <v>306370.0823000001</v>
      </c>
      <c r="R6" s="42" t="inlineStr">
        <is>
          <t>移动止盈</t>
        </is>
      </c>
      <c r="S6" s="47" t="n">
        <v>-2192.142857142744</v>
      </c>
      <c r="T6" s="49" t="n">
        <v>0.9753740430993073</v>
      </c>
    </row>
    <row r="7">
      <c r="A7" s="42" t="n">
        <v>4</v>
      </c>
      <c r="B7" s="42" t="inlineStr">
        <is>
          <t>开空→平空</t>
        </is>
      </c>
      <c r="C7" s="42" t="inlineStr">
        <is>
          <t>2026-03-23 15:00:00</t>
        </is>
      </c>
      <c r="D7" s="42" t="inlineStr">
        <is>
          <t>2026-03-23 23:00:00</t>
        </is>
      </c>
      <c r="E7" s="43" t="n">
        <v>2</v>
      </c>
      <c r="F7" s="42" t="n">
        <v>1382.410714285714</v>
      </c>
      <c r="G7" s="42" t="n">
        <v>1367.142857142857</v>
      </c>
      <c r="H7" s="44" t="n">
        <v>12.21428571428571</v>
      </c>
      <c r="I7" s="45" t="n">
        <v>1.324866071428571</v>
      </c>
      <c r="J7" s="45" t="n">
        <v>13.94299107142854</v>
      </c>
      <c r="K7" s="46" t="n">
        <v>1.141531432748535</v>
      </c>
      <c r="L7" s="43" t="n">
        <v>30</v>
      </c>
      <c r="M7" s="47" t="n">
        <v>8365.794642857123</v>
      </c>
      <c r="N7" s="47" t="n">
        <v>165889.2857142857</v>
      </c>
      <c r="O7" s="47" t="n">
        <v>9160.714285714266</v>
      </c>
      <c r="P7" s="48" t="n">
        <v>0.02990081217115717</v>
      </c>
      <c r="Q7" s="47" t="n">
        <v>314735.8769428572</v>
      </c>
      <c r="R7" s="42" t="inlineStr">
        <is>
          <t>移动止盈</t>
        </is>
      </c>
      <c r="S7" s="47" t="n">
        <v>846.4285714285325</v>
      </c>
      <c r="T7" s="49" t="n">
        <v>0.9966937390385725</v>
      </c>
    </row>
    <row r="8">
      <c r="A8" s="50" t="n">
        <v>5</v>
      </c>
      <c r="B8" s="50" t="inlineStr">
        <is>
          <t>开多→平多</t>
        </is>
      </c>
      <c r="C8" s="50" t="inlineStr">
        <is>
          <t>2026-03-30 22:00:00</t>
        </is>
      </c>
      <c r="D8" s="50" t="inlineStr">
        <is>
          <t>2026-03-31 10:00:00</t>
        </is>
      </c>
      <c r="E8" s="51" t="n">
        <v>2</v>
      </c>
      <c r="F8" s="50" t="n">
        <v>1339.339285714286</v>
      </c>
      <c r="G8" s="50" t="n">
        <v>1328.714285714286</v>
      </c>
      <c r="H8" s="52" t="n">
        <v>8.5</v>
      </c>
      <c r="I8" s="53" t="n">
        <v>1.300416071428571</v>
      </c>
      <c r="J8" s="53" t="n">
        <v>-11.92541607142857</v>
      </c>
      <c r="K8" s="54" t="n">
        <v>-1.40299012605042</v>
      </c>
      <c r="L8" s="51" t="n">
        <v>44</v>
      </c>
      <c r="M8" s="55" t="n">
        <v>-10494.36614285714</v>
      </c>
      <c r="N8" s="55" t="n">
        <v>235723.7142857143</v>
      </c>
      <c r="O8" s="55" t="n">
        <v>9350</v>
      </c>
      <c r="P8" s="56" t="n">
        <v>0.02970744895948919</v>
      </c>
      <c r="Q8" s="55" t="n">
        <v>304241.5108</v>
      </c>
      <c r="R8" s="50" t="inlineStr">
        <is>
          <t>初始止损</t>
        </is>
      </c>
      <c r="S8" s="55" t="n">
        <v>-9350</v>
      </c>
      <c r="T8" s="57" t="n">
        <v>0.9902482986496396</v>
      </c>
    </row>
    <row r="9">
      <c r="A9" s="42" t="n">
        <v>6</v>
      </c>
      <c r="B9" s="42" t="inlineStr">
        <is>
          <t>开空→平空</t>
        </is>
      </c>
      <c r="C9" s="42" t="inlineStr">
        <is>
          <t>2026-04-15 22:00:00</t>
        </is>
      </c>
      <c r="D9" s="42" t="inlineStr">
        <is>
          <t>2026-04-15 23:00:00</t>
        </is>
      </c>
      <c r="E9" s="43" t="n">
        <v>1</v>
      </c>
      <c r="F9" s="42" t="n">
        <v>1292.360714285714</v>
      </c>
      <c r="G9" s="42" t="n">
        <v>1284.503571428571</v>
      </c>
      <c r="H9" s="44" t="n">
        <v>6.285714285714286</v>
      </c>
      <c r="I9" s="45" t="n">
        <v>1.273059285714286</v>
      </c>
      <c r="J9" s="45" t="n">
        <v>6.584083571428604</v>
      </c>
      <c r="K9" s="46" t="n">
        <v>1.047467840909096</v>
      </c>
      <c r="L9" s="43" t="n">
        <v>47</v>
      </c>
      <c r="M9" s="47" t="n">
        <v>6189.038557142887</v>
      </c>
      <c r="N9" s="47" t="n">
        <v>242963.8142857143</v>
      </c>
      <c r="O9" s="47" t="n">
        <v>7385.714285714316</v>
      </c>
      <c r="P9" s="48" t="n">
        <v>0.02427582701089557</v>
      </c>
      <c r="Q9" s="47" t="n">
        <v>310430.5493571429</v>
      </c>
      <c r="R9" s="42" t="inlineStr">
        <is>
          <t>移动止盈</t>
        </is>
      </c>
      <c r="S9" s="47" t="n">
        <v>-1540.92857142859</v>
      </c>
      <c r="T9" s="49" t="n">
        <v>0.8091942336965189</v>
      </c>
    </row>
    <row r="10">
      <c r="A10" s="42" t="n">
        <v>7</v>
      </c>
      <c r="B10" s="42" t="inlineStr">
        <is>
          <t>开多→平多</t>
        </is>
      </c>
      <c r="C10" s="42" t="inlineStr">
        <is>
          <t>2026-04-28 11:15:00</t>
        </is>
      </c>
      <c r="D10" s="42" t="inlineStr">
        <is>
          <t>2026-04-28 14:15:00</t>
        </is>
      </c>
      <c r="E10" s="43" t="n">
        <v>1</v>
      </c>
      <c r="F10" s="42" t="n">
        <v>1285.807142857143</v>
      </c>
      <c r="G10" s="42" t="n">
        <v>1297.503571428571</v>
      </c>
      <c r="H10" s="44" t="n">
        <v>9.357142857142858</v>
      </c>
      <c r="I10" s="45" t="n">
        <v>1.274993214285714</v>
      </c>
      <c r="J10" s="45" t="n">
        <v>10.42143535714273</v>
      </c>
      <c r="K10" s="46" t="n">
        <v>1.113741183206093</v>
      </c>
      <c r="L10" s="43" t="n">
        <v>39</v>
      </c>
      <c r="M10" s="47" t="n">
        <v>8128.719578571327</v>
      </c>
      <c r="N10" s="47" t="n">
        <v>200585.9142857143</v>
      </c>
      <c r="O10" s="47" t="n">
        <v>9123.214285714363</v>
      </c>
      <c r="P10" s="48" t="n">
        <v>0.02938890616470327</v>
      </c>
      <c r="Q10" s="47" t="n">
        <v>318559.2689357143</v>
      </c>
      <c r="R10" s="42" t="inlineStr">
        <is>
          <t>移动止盈</t>
        </is>
      </c>
      <c r="S10" s="47" t="n">
        <v>150.4285714285106</v>
      </c>
      <c r="T10" s="49" t="n">
        <v>0.9796302054901092</v>
      </c>
    </row>
    <row r="11">
      <c r="A11" s="50" t="n">
        <v>8</v>
      </c>
      <c r="B11" s="50" t="inlineStr">
        <is>
          <t>开多→平多</t>
        </is>
      </c>
      <c r="C11" s="50" t="inlineStr">
        <is>
          <t>2026-05-08 22:00:00</t>
        </is>
      </c>
      <c r="D11" s="50" t="inlineStr">
        <is>
          <t>2026-05-08 22:00:00</t>
        </is>
      </c>
      <c r="E11" s="51" t="n">
        <v>0</v>
      </c>
      <c r="F11" s="50" t="n">
        <v>1283.664285714286</v>
      </c>
      <c r="G11" s="50" t="n">
        <v>1272.682142857143</v>
      </c>
      <c r="H11" s="52" t="n">
        <v>8.785714285714286</v>
      </c>
      <c r="I11" s="53" t="n">
        <v>1.266903928571429</v>
      </c>
      <c r="J11" s="53" t="n">
        <v>-12.24904678571432</v>
      </c>
      <c r="K11" s="54" t="n">
        <v>-1.394200447154475</v>
      </c>
      <c r="L11" s="51" t="n">
        <v>43</v>
      </c>
      <c r="M11" s="55" t="n">
        <v>-10534.18023571431</v>
      </c>
      <c r="N11" s="55" t="n">
        <v>220790.2571428572</v>
      </c>
      <c r="O11" s="55" t="n">
        <v>9444.642857142884</v>
      </c>
      <c r="P11" s="56" t="n">
        <v>0.02964799262848895</v>
      </c>
      <c r="Q11" s="55" t="n">
        <v>308025.0887</v>
      </c>
      <c r="R11" s="50" t="inlineStr">
        <is>
          <t>初始止损</t>
        </is>
      </c>
      <c r="S11" s="55" t="n">
        <v>-9171.285714285808</v>
      </c>
      <c r="T11" s="57" t="n">
        <v>0.9882664209496316</v>
      </c>
    </row>
    <row r="12">
      <c r="A12" s="50" t="n">
        <v>9</v>
      </c>
      <c r="B12" s="50" t="inlineStr">
        <is>
          <t>开空→平空</t>
        </is>
      </c>
      <c r="C12" s="50" t="inlineStr">
        <is>
          <t>2026-05-25 10:00:00</t>
        </is>
      </c>
      <c r="D12" s="50" t="inlineStr">
        <is>
          <t>2026-05-25 10:00:00</t>
        </is>
      </c>
      <c r="E12" s="51" t="n">
        <v>0</v>
      </c>
      <c r="F12" s="50" t="n">
        <v>1264.389285714286</v>
      </c>
      <c r="G12" s="50" t="n">
        <v>1276.978571428572</v>
      </c>
      <c r="H12" s="52" t="n">
        <v>10.07142857142857</v>
      </c>
      <c r="I12" s="53" t="n">
        <v>1.262410357142857</v>
      </c>
      <c r="J12" s="53" t="n">
        <v>-13.85169607142864</v>
      </c>
      <c r="K12" s="54" t="n">
        <v>-1.375345709219865</v>
      </c>
      <c r="L12" s="51" t="n">
        <v>36</v>
      </c>
      <c r="M12" s="55" t="n">
        <v>-9973.221171428617</v>
      </c>
      <c r="N12" s="55" t="n">
        <v>182072.0571428571</v>
      </c>
      <c r="O12" s="55" t="n">
        <v>9064.285714285761</v>
      </c>
      <c r="P12" s="56" t="n">
        <v>0.02942710203425635</v>
      </c>
      <c r="Q12" s="55" t="n">
        <v>298051.8675285713</v>
      </c>
      <c r="R12" s="50" t="inlineStr">
        <is>
          <t>初始止损</t>
        </is>
      </c>
      <c r="S12" s="55" t="n">
        <v>3880.285714285728</v>
      </c>
      <c r="T12" s="57" t="n">
        <v>0.9809034011418784</v>
      </c>
    </row>
    <row r="13">
      <c r="A13" s="42" t="n">
        <v>10</v>
      </c>
      <c r="B13" s="42" t="inlineStr">
        <is>
          <t>开多→平多</t>
        </is>
      </c>
      <c r="C13" s="42" t="inlineStr">
        <is>
          <t>2026-06-04 11:15:00</t>
        </is>
      </c>
      <c r="D13" s="42" t="inlineStr">
        <is>
          <t>2026-06-04 14:15:00</t>
        </is>
      </c>
      <c r="E13" s="43" t="n">
        <v>1</v>
      </c>
      <c r="F13" s="42" t="n">
        <v>1245.675</v>
      </c>
      <c r="G13" s="42" t="n">
        <v>1255.675</v>
      </c>
      <c r="H13" s="44" t="n">
        <v>8</v>
      </c>
      <c r="I13" s="45" t="n">
        <v>1.250405</v>
      </c>
      <c r="J13" s="45" t="n">
        <v>8.749594999999999</v>
      </c>
      <c r="K13" s="46" t="n">
        <v>1.093699375</v>
      </c>
      <c r="L13" s="43" t="n">
        <v>44</v>
      </c>
      <c r="M13" s="47" t="n">
        <v>7699.643599999999</v>
      </c>
      <c r="N13" s="47" t="n">
        <v>219238.8</v>
      </c>
      <c r="O13" s="47" t="n">
        <v>8800</v>
      </c>
      <c r="P13" s="48" t="n">
        <v>0.02952506244288649</v>
      </c>
      <c r="Q13" s="47" t="n">
        <v>305751.5111285714</v>
      </c>
      <c r="R13" s="42" t="inlineStr">
        <is>
          <t>移动止盈</t>
        </is>
      </c>
      <c r="S13" s="47" t="n">
        <v>-8513.99999999996</v>
      </c>
      <c r="T13" s="49" t="n">
        <v>0.9841687480962161</v>
      </c>
    </row>
    <row r="14">
      <c r="A14" s="42" t="n">
        <v>11</v>
      </c>
      <c r="B14" s="42" t="inlineStr">
        <is>
          <t>开多→平多</t>
        </is>
      </c>
      <c r="C14" s="42" t="inlineStr">
        <is>
          <t>2026-06-17 22:00:00</t>
        </is>
      </c>
      <c r="D14" s="42" t="inlineStr">
        <is>
          <t>2026-06-17 23:00:00</t>
        </is>
      </c>
      <c r="E14" s="43" t="n">
        <v>1</v>
      </c>
      <c r="F14" s="42" t="n">
        <v>1197.346428571429</v>
      </c>
      <c r="G14" s="42" t="n">
        <v>1216.096428571429</v>
      </c>
      <c r="H14" s="44" t="n">
        <v>7.5</v>
      </c>
      <c r="I14" s="45" t="n">
        <v>1.224032857142857</v>
      </c>
      <c r="J14" s="45" t="n">
        <v>17.52596714285714</v>
      </c>
      <c r="K14" s="46" t="n">
        <v>2.336795619047619</v>
      </c>
      <c r="L14" s="43" t="n">
        <v>48</v>
      </c>
      <c r="M14" s="47" t="n">
        <v>16824.92845714286</v>
      </c>
      <c r="N14" s="47" t="n">
        <v>229890.5142857143</v>
      </c>
      <c r="O14" s="47" t="n">
        <v>9000</v>
      </c>
      <c r="P14" s="48" t="n">
        <v>0.02943566809131948</v>
      </c>
      <c r="Q14" s="47" t="n">
        <v>322576.4395857142</v>
      </c>
      <c r="R14" s="42" t="inlineStr">
        <is>
          <t>移动止盈</t>
        </is>
      </c>
      <c r="S14" s="47" t="n">
        <v>-6092.571428571609</v>
      </c>
      <c r="T14" s="49" t="n">
        <v>0.981188936377316</v>
      </c>
    </row>
    <row r="15">
      <c r="A15" s="42" t="n">
        <v>12</v>
      </c>
      <c r="B15" s="42" t="inlineStr">
        <is>
          <t>开空→平空</t>
        </is>
      </c>
      <c r="C15" s="42" t="inlineStr">
        <is>
          <t>2026-07-03 23:00:00</t>
        </is>
      </c>
      <c r="D15" s="42" t="inlineStr">
        <is>
          <t>2026-07-06 10:00:00</t>
        </is>
      </c>
      <c r="E15" s="43" t="n">
        <v>1</v>
      </c>
      <c r="F15" s="42" t="n">
        <v>1181.867857142857</v>
      </c>
      <c r="G15" s="42" t="n">
        <v>1172.760714285714</v>
      </c>
      <c r="H15" s="44" t="n">
        <v>7.285714285714286</v>
      </c>
      <c r="I15" s="45" t="n">
        <v>1.206388571428571</v>
      </c>
      <c r="J15" s="45" t="n">
        <v>7.900754285714319</v>
      </c>
      <c r="K15" s="46" t="n">
        <v>1.084417254901965</v>
      </c>
      <c r="L15" s="43" t="n">
        <v>53</v>
      </c>
      <c r="M15" s="47" t="n">
        <v>8374.799542857178</v>
      </c>
      <c r="N15" s="47" t="n">
        <v>250555.9857142857</v>
      </c>
      <c r="O15" s="47" t="n">
        <v>9653.571428571464</v>
      </c>
      <c r="P15" s="48" t="n">
        <v>0.02992646158835894</v>
      </c>
      <c r="Q15" s="47" t="n">
        <v>330951.2391285714</v>
      </c>
      <c r="R15" s="42" t="inlineStr">
        <is>
          <t>移动止盈</t>
        </is>
      </c>
      <c r="S15" s="47" t="n">
        <v>3039.928571428441</v>
      </c>
      <c r="T15" s="49" t="n">
        <v>0.9975487196119647</v>
      </c>
    </row>
    <row r="16">
      <c r="A16" s="42" t="n">
        <v>13</v>
      </c>
      <c r="B16" s="42" t="inlineStr">
        <is>
          <t>开多→平多</t>
        </is>
      </c>
      <c r="C16" s="42" t="inlineStr">
        <is>
          <t>2026-07-07 14:15:00</t>
        </is>
      </c>
      <c r="D16" s="42" t="inlineStr">
        <is>
          <t>2026-07-07 15:00:00</t>
        </is>
      </c>
      <c r="E16" s="43" t="n">
        <v>1</v>
      </c>
      <c r="F16" s="42" t="n">
        <v>1146.321428571429</v>
      </c>
      <c r="G16" s="42" t="n">
        <v>1156.232142857143</v>
      </c>
      <c r="H16" s="44" t="n">
        <v>7.928571428571429</v>
      </c>
      <c r="I16" s="45" t="n">
        <v>1.190766071428571</v>
      </c>
      <c r="J16" s="45" t="n">
        <v>8.719948214285877</v>
      </c>
      <c r="K16" s="46" t="n">
        <v>1.099813288288309</v>
      </c>
      <c r="L16" s="43" t="n">
        <v>50</v>
      </c>
      <c r="M16" s="47" t="n">
        <v>8719.948214285876</v>
      </c>
      <c r="N16" s="47" t="n">
        <v>229264.2857142857</v>
      </c>
      <c r="O16" s="47" t="n">
        <v>9910.714285714221</v>
      </c>
      <c r="P16" s="48" t="n">
        <v>0.02994614648311984</v>
      </c>
      <c r="Q16" s="47" t="n">
        <v>339671.1873428572</v>
      </c>
      <c r="R16" s="42" t="inlineStr">
        <is>
          <t>移动止盈</t>
        </is>
      </c>
      <c r="S16" s="47" t="n">
        <v>-7321.428571428669</v>
      </c>
      <c r="T16" s="49" t="n">
        <v>0.9982048827706614</v>
      </c>
    </row>
    <row r="17">
      <c r="A17" s="50" t="n">
        <v>14</v>
      </c>
      <c r="B17" s="50" t="inlineStr">
        <is>
          <t>开空→平空</t>
        </is>
      </c>
      <c r="C17" s="50" t="inlineStr">
        <is>
          <t>2026-08-07 22:00:00</t>
        </is>
      </c>
      <c r="D17" s="50" t="inlineStr">
        <is>
          <t>2026-08-07 22:00:00</t>
        </is>
      </c>
      <c r="E17" s="51" t="n">
        <v>0</v>
      </c>
      <c r="F17" s="50" t="n">
        <v>1022.142857142857</v>
      </c>
      <c r="G17" s="50" t="n">
        <v>1032.321428571428</v>
      </c>
      <c r="H17" s="52" t="n">
        <v>8.142857142857142</v>
      </c>
      <c r="I17" s="53" t="n">
        <v>1.116339285714286</v>
      </c>
      <c r="J17" s="53" t="n">
        <v>-11.29491071428562</v>
      </c>
      <c r="K17" s="54" t="n">
        <v>-1.387094298245602</v>
      </c>
      <c r="L17" s="51" t="n">
        <v>50</v>
      </c>
      <c r="M17" s="55" t="n">
        <v>-11294.91071428562</v>
      </c>
      <c r="N17" s="55" t="n">
        <v>204428.5714285714</v>
      </c>
      <c r="O17" s="55" t="n">
        <v>10178.57142857133</v>
      </c>
      <c r="P17" s="56" t="n">
        <v>0.02996595474639798</v>
      </c>
      <c r="Q17" s="55" t="n">
        <v>328376.2766285716</v>
      </c>
      <c r="R17" s="50" t="inlineStr">
        <is>
          <t>初始止损</t>
        </is>
      </c>
      <c r="S17" s="55" t="n">
        <v>-10178.57142857133</v>
      </c>
      <c r="T17" s="57" t="n">
        <v>0.998865158213266</v>
      </c>
    </row>
    <row r="18">
      <c r="A18" s="42" t="n">
        <v>15</v>
      </c>
      <c r="B18" s="42" t="inlineStr">
        <is>
          <t>开多→平多</t>
        </is>
      </c>
      <c r="C18" s="42" t="inlineStr">
        <is>
          <t>2026-08-19 11:15:00</t>
        </is>
      </c>
      <c r="D18" s="42" t="inlineStr">
        <is>
          <t>2026-08-19 14:15:00</t>
        </is>
      </c>
      <c r="E18" s="43" t="n">
        <v>1</v>
      </c>
      <c r="F18" s="42" t="n">
        <v>1014.471428571429</v>
      </c>
      <c r="G18" s="42" t="n">
        <v>1026.525</v>
      </c>
      <c r="H18" s="44" t="n">
        <v>9.642857142857142</v>
      </c>
      <c r="I18" s="45" t="n">
        <v>1.112298928571429</v>
      </c>
      <c r="J18" s="45" t="n">
        <v>10.94127250000002</v>
      </c>
      <c r="K18" s="46" t="n">
        <v>1.134650481481483</v>
      </c>
      <c r="L18" s="43" t="n">
        <v>40</v>
      </c>
      <c r="M18" s="47" t="n">
        <v>8753.018000000013</v>
      </c>
      <c r="N18" s="47" t="n">
        <v>162315.4285714286</v>
      </c>
      <c r="O18" s="47" t="n">
        <v>9642.857142857156</v>
      </c>
      <c r="P18" s="48" t="n">
        <v>0.02936526731425318</v>
      </c>
      <c r="Q18" s="47" t="n">
        <v>337129.2946285717</v>
      </c>
      <c r="R18" s="42" t="inlineStr">
        <is>
          <t>移动止盈</t>
        </is>
      </c>
      <c r="S18" s="47" t="n">
        <v>-377.1428571429169</v>
      </c>
      <c r="T18" s="49" t="n">
        <v>0.9788422438084394</v>
      </c>
    </row>
    <row r="19">
      <c r="A19" s="42" t="n">
        <v>16</v>
      </c>
      <c r="B19" s="42" t="inlineStr">
        <is>
          <t>开空→平空</t>
        </is>
      </c>
      <c r="C19" s="42" t="inlineStr">
        <is>
          <t>2026-08-21 22:00:00</t>
        </is>
      </c>
      <c r="D19" s="42" t="inlineStr">
        <is>
          <t>2026-08-21 23:00:00</t>
        </is>
      </c>
      <c r="E19" s="43" t="n">
        <v>1</v>
      </c>
      <c r="F19" s="42" t="n">
        <v>1054.796428571429</v>
      </c>
      <c r="G19" s="42" t="n">
        <v>1042.117857142857</v>
      </c>
      <c r="H19" s="44" t="n">
        <v>10.14285714285714</v>
      </c>
      <c r="I19" s="45" t="n">
        <v>1.129074285714286</v>
      </c>
      <c r="J19" s="45" t="n">
        <v>11.54949714285727</v>
      </c>
      <c r="K19" s="46" t="n">
        <v>1.138682816901421</v>
      </c>
      <c r="L19" s="43" t="n">
        <v>39</v>
      </c>
      <c r="M19" s="47" t="n">
        <v>9008.607771428673</v>
      </c>
      <c r="N19" s="47" t="n">
        <v>164548.2428571428</v>
      </c>
      <c r="O19" s="47" t="n">
        <v>9889.285714285637</v>
      </c>
      <c r="P19" s="48" t="n">
        <v>0.02933380715307178</v>
      </c>
      <c r="Q19" s="47" t="n">
        <v>346137.9024000003</v>
      </c>
      <c r="R19" s="42" t="inlineStr">
        <is>
          <t>移动止盈</t>
        </is>
      </c>
      <c r="S19" s="47" t="n">
        <v>-2498.785714285709</v>
      </c>
      <c r="T19" s="49" t="n">
        <v>0.9777935717690592</v>
      </c>
    </row>
    <row r="20">
      <c r="A20" s="42" t="n">
        <v>17</v>
      </c>
      <c r="B20" s="42" t="inlineStr">
        <is>
          <t>开多→平多</t>
        </is>
      </c>
      <c r="C20" s="42" t="inlineStr">
        <is>
          <t>2026-08-26 23:00:00</t>
        </is>
      </c>
      <c r="D20" s="42" t="inlineStr">
        <is>
          <t>2026-08-27 10:00:00</t>
        </is>
      </c>
      <c r="E20" s="43" t="n">
        <v>1</v>
      </c>
      <c r="F20" s="42" t="n">
        <v>1012.492857142857</v>
      </c>
      <c r="G20" s="42" t="n">
        <v>1025.260714285714</v>
      </c>
      <c r="H20" s="44" t="n">
        <v>10.21428571428571</v>
      </c>
      <c r="I20" s="45" t="n">
        <v>1.111326071428571</v>
      </c>
      <c r="J20" s="45" t="n">
        <v>11.65653107142854</v>
      </c>
      <c r="K20" s="46" t="n">
        <v>1.141198846153843</v>
      </c>
      <c r="L20" s="43" t="n">
        <v>40</v>
      </c>
      <c r="M20" s="47" t="n">
        <v>9325.224857142832</v>
      </c>
      <c r="N20" s="47" t="n">
        <v>161998.8571428571</v>
      </c>
      <c r="O20" s="47" t="n">
        <v>10214.28571428569</v>
      </c>
      <c r="P20" s="48" t="n">
        <v>0.02950929569822712</v>
      </c>
      <c r="Q20" s="47" t="n">
        <v>355463.1272571431</v>
      </c>
      <c r="R20" s="42" t="inlineStr">
        <is>
          <t>移动止盈</t>
        </is>
      </c>
      <c r="S20" s="47" t="n">
        <v>-1994.285714285616</v>
      </c>
      <c r="T20" s="49" t="n">
        <v>0.9836431899409041</v>
      </c>
    </row>
    <row r="21">
      <c r="A21" s="42" t="n">
        <v>18</v>
      </c>
      <c r="B21" s="42" t="inlineStr">
        <is>
          <t>开空→平空</t>
        </is>
      </c>
      <c r="C21" s="42" t="inlineStr">
        <is>
          <t>2026-08-31 11:15:00</t>
        </is>
      </c>
      <c r="D21" s="42" t="inlineStr">
        <is>
          <t>2026-08-31 14:15:00</t>
        </is>
      </c>
      <c r="E21" s="43" t="n">
        <v>1</v>
      </c>
      <c r="F21" s="42" t="n">
        <v>1059.771428571429</v>
      </c>
      <c r="G21" s="42" t="n">
        <v>1047.182142857143</v>
      </c>
      <c r="H21" s="44" t="n">
        <v>10.07142857142857</v>
      </c>
      <c r="I21" s="45" t="n">
        <v>1.132086071428571</v>
      </c>
      <c r="J21" s="45" t="n">
        <v>11.45719964285698</v>
      </c>
      <c r="K21" s="46" t="n">
        <v>1.137594290780126</v>
      </c>
      <c r="L21" s="43" t="n">
        <v>42</v>
      </c>
      <c r="M21" s="47" t="n">
        <v>9624.047699999865</v>
      </c>
      <c r="N21" s="47" t="n">
        <v>178041.6</v>
      </c>
      <c r="O21" s="47" t="n">
        <v>10575.00000000005</v>
      </c>
      <c r="P21" s="48" t="n">
        <v>0.02974992112852838</v>
      </c>
      <c r="Q21" s="47" t="n">
        <v>365087.174957143</v>
      </c>
      <c r="R21" s="42" t="inlineStr">
        <is>
          <t>移动止盈</t>
        </is>
      </c>
      <c r="S21" s="47" t="n">
        <v>-6071.99999999988</v>
      </c>
      <c r="T21" s="49" t="n">
        <v>0.9916640376176126</v>
      </c>
    </row>
    <row r="22">
      <c r="A22" s="42" t="n">
        <v>19</v>
      </c>
      <c r="B22" s="42" t="inlineStr">
        <is>
          <t>开空→平空</t>
        </is>
      </c>
      <c r="C22" s="42" t="inlineStr">
        <is>
          <t>2026-09-10 22:00:00</t>
        </is>
      </c>
      <c r="D22" s="42" t="inlineStr">
        <is>
          <t>2026-09-10 23:00:00</t>
        </is>
      </c>
      <c r="E22" s="43" t="n">
        <v>1</v>
      </c>
      <c r="F22" s="42" t="n">
        <v>1099.264285714286</v>
      </c>
      <c r="G22" s="42" t="n">
        <v>1067.835714285714</v>
      </c>
      <c r="H22" s="44" t="n">
        <v>12.57142857142857</v>
      </c>
      <c r="I22" s="45" t="n">
        <v>1.15013</v>
      </c>
      <c r="J22" s="45" t="n">
        <v>30.27844142857133</v>
      </c>
      <c r="K22" s="46" t="n">
        <v>2.408512386363629</v>
      </c>
      <c r="L22" s="43" t="n">
        <v>34</v>
      </c>
      <c r="M22" s="47" t="n">
        <v>20589.3401714285</v>
      </c>
      <c r="N22" s="47" t="n">
        <v>149499.9428571429</v>
      </c>
      <c r="O22" s="47" t="n">
        <v>10685.71428571433</v>
      </c>
      <c r="P22" s="48" t="n">
        <v>0.0292689390882293</v>
      </c>
      <c r="Q22" s="47" t="n">
        <v>385676.5151285715</v>
      </c>
      <c r="R22" s="42" t="inlineStr">
        <is>
          <t>移动止盈</t>
        </is>
      </c>
      <c r="S22" s="47" t="n">
        <v>13099.7142857143</v>
      </c>
      <c r="T22" s="49" t="n">
        <v>0.9756313029409766</v>
      </c>
    </row>
    <row r="23">
      <c r="A23" s="42" t="n">
        <v>20</v>
      </c>
      <c r="B23" s="42" t="inlineStr">
        <is>
          <t>开多→平多</t>
        </is>
      </c>
      <c r="C23" s="42" t="inlineStr">
        <is>
          <t>2026-09-14 10:00:00</t>
        </is>
      </c>
      <c r="D23" s="42" t="inlineStr">
        <is>
          <t>2026-09-14 11:15:00</t>
        </is>
      </c>
      <c r="E23" s="43" t="n">
        <v>1</v>
      </c>
      <c r="F23" s="42" t="n">
        <v>1039.482142857143</v>
      </c>
      <c r="G23" s="42" t="n">
        <v>1056</v>
      </c>
      <c r="H23" s="44" t="n">
        <v>13.21428571428571</v>
      </c>
      <c r="I23" s="45" t="n">
        <v>1.128644642857143</v>
      </c>
      <c r="J23" s="45" t="n">
        <v>15.38921249999997</v>
      </c>
      <c r="K23" s="46" t="n">
        <v>1.164589054054052</v>
      </c>
      <c r="L23" s="43" t="n">
        <v>35</v>
      </c>
      <c r="M23" s="47" t="n">
        <v>10772.44874999998</v>
      </c>
      <c r="N23" s="47" t="n">
        <v>145527.5</v>
      </c>
      <c r="O23" s="47" t="n">
        <v>11562.49999999998</v>
      </c>
      <c r="P23" s="48" t="n">
        <v>0.0299797875847987</v>
      </c>
      <c r="Q23" s="47" t="n">
        <v>396448.9638785715</v>
      </c>
      <c r="R23" s="42" t="inlineStr">
        <is>
          <t>移动止盈</t>
        </is>
      </c>
      <c r="S23" s="47" t="n">
        <v>-11537.50000000002</v>
      </c>
      <c r="T23" s="49" t="n">
        <v>0.9993262528266232</v>
      </c>
    </row>
    <row r="24">
      <c r="A24" s="42" t="n">
        <v>21</v>
      </c>
      <c r="B24" s="42" t="inlineStr">
        <is>
          <t>开多→平多</t>
        </is>
      </c>
      <c r="C24" s="42" t="inlineStr">
        <is>
          <t>2026-09-28 10:00:00</t>
        </is>
      </c>
      <c r="D24" s="42" t="inlineStr">
        <is>
          <t>2026-09-28 14:15:00</t>
        </is>
      </c>
      <c r="E24" s="43" t="n">
        <v>2</v>
      </c>
      <c r="F24" s="42" t="n">
        <v>994.5464285714286</v>
      </c>
      <c r="G24" s="42" t="n">
        <v>1015.975</v>
      </c>
      <c r="H24" s="44" t="n">
        <v>8.571428571428571</v>
      </c>
      <c r="I24" s="45" t="n">
        <v>1.103156428571429</v>
      </c>
      <c r="J24" s="45" t="n">
        <v>20.32541500000002</v>
      </c>
      <c r="K24" s="46" t="n">
        <v>2.371298416666669</v>
      </c>
      <c r="L24" s="43" t="n">
        <v>55</v>
      </c>
      <c r="M24" s="47" t="n">
        <v>22357.95650000002</v>
      </c>
      <c r="N24" s="47" t="n">
        <v>218800.2142857143</v>
      </c>
      <c r="O24" s="47" t="n">
        <v>11785.71428571423</v>
      </c>
      <c r="P24" s="48" t="n">
        <v>0.02972820049877613</v>
      </c>
      <c r="Q24" s="47" t="n">
        <v>418806.9203785716</v>
      </c>
      <c r="R24" s="42" t="inlineStr">
        <is>
          <t>移动止盈</t>
        </is>
      </c>
      <c r="S24" s="47" t="n">
        <v>20298.92857142857</v>
      </c>
      <c r="T24" s="49" t="n">
        <v>0.9909400166258712</v>
      </c>
    </row>
    <row r="25">
      <c r="A25" s="42" t="n">
        <v>22</v>
      </c>
      <c r="B25" s="42" t="inlineStr">
        <is>
          <t>开多→平多</t>
        </is>
      </c>
      <c r="C25" s="42" t="inlineStr">
        <is>
          <t>2026-10-08 15:00:00</t>
        </is>
      </c>
      <c r="D25" s="42" t="inlineStr">
        <is>
          <t>2026-10-08 22:00:00</t>
        </is>
      </c>
      <c r="E25" s="43" t="n">
        <v>1</v>
      </c>
      <c r="F25" s="42" t="n">
        <v>988.8464285714285</v>
      </c>
      <c r="G25" s="42" t="n">
        <v>1015.275</v>
      </c>
      <c r="H25" s="44" t="n">
        <v>10.57142857142857</v>
      </c>
      <c r="I25" s="45" t="n">
        <v>1.101236428571428</v>
      </c>
      <c r="J25" s="45" t="n">
        <v>25.32733500000002</v>
      </c>
      <c r="K25" s="46" t="n">
        <v>2.395828986486488</v>
      </c>
      <c r="L25" s="43" t="n">
        <v>47</v>
      </c>
      <c r="M25" s="47" t="n">
        <v>23807.69490000002</v>
      </c>
      <c r="N25" s="47" t="n">
        <v>185903.1285714286</v>
      </c>
      <c r="O25" s="47" t="n">
        <v>12421.42857142853</v>
      </c>
      <c r="P25" s="48" t="n">
        <v>0.02965908146933303</v>
      </c>
      <c r="Q25" s="47" t="n">
        <v>442614.6152785716</v>
      </c>
      <c r="R25" s="42" t="inlineStr">
        <is>
          <t>移动止盈</t>
        </is>
      </c>
      <c r="S25" s="47" t="n">
        <v>-5495.642857142821</v>
      </c>
      <c r="T25" s="49" t="n">
        <v>0.9886360489777677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8" customWidth="1" min="4" max="4"/>
    <col width="8" customWidth="1" min="5" max="5"/>
    <col width="9" customWidth="1" min="6" max="6"/>
    <col width="9" customWidth="1" min="7" max="7"/>
    <col width="8" customWidth="1" min="8" max="8"/>
    <col width="9" customWidth="1" min="9" max="9"/>
    <col width="10" customWidth="1" min="10" max="10"/>
    <col width="10" customWidth="1" min="11" max="11"/>
    <col width="6" customWidth="1" min="12" max="12"/>
    <col width="12" customWidth="1" min="13" max="13"/>
    <col width="13" customWidth="1" min="14" max="14"/>
    <col width="12" customWidth="1" min="15" max="15"/>
    <col width="8" customWidth="1" min="16" max="16"/>
    <col width="13" customWidth="1" min="17" max="17"/>
    <col width="12" customWidth="1" min="18" max="18"/>
    <col width="13" customWidth="1" min="19" max="19"/>
    <col width="13" customWidth="1" min="20" max="20"/>
  </cols>
  <sheetData>
    <row r="1">
      <c r="A1" s="9" t="inlineStr">
        <is>
          <t>红枣 逐笔明细（★推荐资金参数）· D 方案 3% · 60 分钟 ★优选</t>
        </is>
      </c>
    </row>
    <row r="2">
      <c r="A2" s="2" t="inlineStr">
        <is>
          <t>手数 = 按当时权益的 3% 风险预算 ÷ 每手风险，并受保证金上限 80% 约束</t>
        </is>
      </c>
    </row>
    <row r="3" ht="32" customHeight="1">
      <c r="A3" s="6" t="inlineStr">
        <is>
          <t>#</t>
        </is>
      </c>
      <c r="B3" s="6" t="inlineStr">
        <is>
          <t>方向(开→平)</t>
        </is>
      </c>
      <c r="C3" s="6" t="inlineStr">
        <is>
          <t>开仓时间</t>
        </is>
      </c>
      <c r="D3" s="6" t="inlineStr">
        <is>
          <t>平仓时间</t>
        </is>
      </c>
      <c r="E3" s="6" t="inlineStr">
        <is>
          <t>持仓K线</t>
        </is>
      </c>
      <c r="F3" s="6" t="inlineStr">
        <is>
          <t>开仓价</t>
        </is>
      </c>
      <c r="G3" s="6" t="inlineStr">
        <is>
          <t>平仓价</t>
        </is>
      </c>
      <c r="H3" s="6" t="inlineStr">
        <is>
          <t>WV(点)</t>
        </is>
      </c>
      <c r="I3" s="6" t="inlineStr">
        <is>
          <t>成本(点)</t>
        </is>
      </c>
      <c r="J3" s="6" t="inlineStr">
        <is>
          <t>净盈亏(点)</t>
        </is>
      </c>
      <c r="K3" s="6" t="inlineStr">
        <is>
          <t>净盈亏(R)</t>
        </is>
      </c>
      <c r="L3" s="6" t="inlineStr">
        <is>
          <t>手数</t>
        </is>
      </c>
      <c r="M3" s="6" t="inlineStr">
        <is>
          <t>实际盈亏(元)</t>
        </is>
      </c>
      <c r="N3" s="6" t="inlineStr">
        <is>
          <t>保证金占用(元)</t>
        </is>
      </c>
      <c r="O3" s="6" t="inlineStr">
        <is>
          <t>单笔风险(元)</t>
        </is>
      </c>
      <c r="P3" s="6" t="inlineStr">
        <is>
          <t>风险%</t>
        </is>
      </c>
      <c r="Q3" s="6" t="inlineStr">
        <is>
          <t>平仓后权益</t>
        </is>
      </c>
      <c r="R3" s="6" t="inlineStr">
        <is>
          <t>出场原因</t>
        </is>
      </c>
      <c r="S3" s="6" t="inlineStr">
        <is>
          <t>最大浮亏(元)</t>
        </is>
      </c>
      <c r="T3" s="6" t="inlineStr">
        <is>
          <t>风险预算利用率</t>
        </is>
      </c>
    </row>
    <row r="4">
      <c r="A4" s="42" t="n">
        <v>1</v>
      </c>
      <c r="B4" s="42" t="inlineStr">
        <is>
          <t>开多→平多</t>
        </is>
      </c>
      <c r="C4" s="42" t="inlineStr">
        <is>
          <t>2026-02-05 10:00:00</t>
        </is>
      </c>
      <c r="D4" s="42" t="inlineStr">
        <is>
          <t>2026-02-05 11:15:00</t>
        </is>
      </c>
      <c r="E4" s="43" t="n">
        <v>1</v>
      </c>
      <c r="F4" s="42" t="n">
        <v>9549.178571428571</v>
      </c>
      <c r="G4" s="42" t="n">
        <v>9602.303571428571</v>
      </c>
      <c r="H4" s="44" t="n">
        <v>42.5</v>
      </c>
      <c r="I4" s="45" t="n">
        <v>6.1</v>
      </c>
      <c r="J4" s="45" t="n">
        <v>47.025</v>
      </c>
      <c r="K4" s="46" t="n">
        <v>1.106470588235294</v>
      </c>
      <c r="L4" s="43" t="n">
        <v>29</v>
      </c>
      <c r="M4" s="47" t="n">
        <v>6818.625</v>
      </c>
      <c r="N4" s="47" t="n">
        <v>235387.2517857143</v>
      </c>
      <c r="O4" s="47" t="n">
        <v>7703.125</v>
      </c>
      <c r="P4" s="48" t="n">
        <v>0.02567708333333334</v>
      </c>
      <c r="Q4" s="47" t="n">
        <v>306818.625</v>
      </c>
      <c r="R4" s="42" t="inlineStr">
        <is>
          <t>移动止盈</t>
        </is>
      </c>
      <c r="S4" s="47" t="n">
        <v>-2055.892857142744</v>
      </c>
      <c r="T4" s="49" t="n">
        <v>0.8559027777777778</v>
      </c>
    </row>
    <row r="5">
      <c r="A5" s="42" t="n">
        <v>2</v>
      </c>
      <c r="B5" s="42" t="inlineStr">
        <is>
          <t>开空→平空</t>
        </is>
      </c>
      <c r="C5" s="42" t="inlineStr">
        <is>
          <t>2026-02-25 10:00:00</t>
        </is>
      </c>
      <c r="D5" s="42" t="inlineStr">
        <is>
          <t>2026-02-25 11:15:00</t>
        </is>
      </c>
      <c r="E5" s="43" t="n">
        <v>1</v>
      </c>
      <c r="F5" s="42" t="n">
        <v>9673.892857142857</v>
      </c>
      <c r="G5" s="42" t="n">
        <v>9614.071428571429</v>
      </c>
      <c r="H5" s="44" t="n">
        <v>47.85714285714285</v>
      </c>
      <c r="I5" s="45" t="n">
        <v>6.1</v>
      </c>
      <c r="J5" s="45" t="n">
        <v>53.72142857142753</v>
      </c>
      <c r="K5" s="46" t="n">
        <v>1.122537313432814</v>
      </c>
      <c r="L5" s="43" t="n">
        <v>29</v>
      </c>
      <c r="M5" s="47" t="n">
        <v>7789.607142856992</v>
      </c>
      <c r="N5" s="47" t="n">
        <v>238461.4589285714</v>
      </c>
      <c r="O5" s="47" t="n">
        <v>8674.107142857256</v>
      </c>
      <c r="P5" s="48" t="n">
        <v>0.02827112318509757</v>
      </c>
      <c r="Q5" s="47" t="n">
        <v>314608.232142857</v>
      </c>
      <c r="R5" s="42" t="inlineStr">
        <is>
          <t>移动止盈</t>
        </is>
      </c>
      <c r="S5" s="47" t="n">
        <v>-3060.535714285752</v>
      </c>
      <c r="T5" s="49" t="n">
        <v>0.9423707728365857</v>
      </c>
    </row>
    <row r="6">
      <c r="A6" s="42" t="n">
        <v>3</v>
      </c>
      <c r="B6" s="42" t="inlineStr">
        <is>
          <t>开多→平多</t>
        </is>
      </c>
      <c r="C6" s="42" t="inlineStr">
        <is>
          <t>2026-03-18 10:00:00</t>
        </is>
      </c>
      <c r="D6" s="42" t="inlineStr">
        <is>
          <t>2026-03-18 11:15:00</t>
        </is>
      </c>
      <c r="E6" s="43" t="n">
        <v>1</v>
      </c>
      <c r="F6" s="42" t="n">
        <v>9788.375</v>
      </c>
      <c r="G6" s="42" t="n">
        <v>9959.803571428571</v>
      </c>
      <c r="H6" s="44" t="n">
        <v>68.57142857142857</v>
      </c>
      <c r="I6" s="45" t="n">
        <v>6.1</v>
      </c>
      <c r="J6" s="45" t="n">
        <v>165.3285714285707</v>
      </c>
      <c r="K6" s="46" t="n">
        <v>2.411041666666656</v>
      </c>
      <c r="L6" s="43" t="n">
        <v>22</v>
      </c>
      <c r="M6" s="47" t="n">
        <v>18186.14285714277</v>
      </c>
      <c r="N6" s="47" t="n">
        <v>183042.6125</v>
      </c>
      <c r="O6" s="47" t="n">
        <v>9428.571428571486</v>
      </c>
      <c r="P6" s="48" t="n">
        <v>0.02996924576433261</v>
      </c>
      <c r="Q6" s="47" t="n">
        <v>332794.3749999998</v>
      </c>
      <c r="R6" s="42" t="inlineStr">
        <is>
          <t>移动止盈</t>
        </is>
      </c>
      <c r="S6" s="47" t="n">
        <v>3478.75</v>
      </c>
      <c r="T6" s="49" t="n">
        <v>0.9989748588110868</v>
      </c>
    </row>
    <row r="7">
      <c r="A7" s="42" t="n">
        <v>4</v>
      </c>
      <c r="B7" s="42" t="inlineStr">
        <is>
          <t>开空→平空</t>
        </is>
      </c>
      <c r="C7" s="42" t="inlineStr">
        <is>
          <t>2026-04-20 14:15:00</t>
        </is>
      </c>
      <c r="D7" s="42" t="inlineStr">
        <is>
          <t>2026-04-20 15:00:00</t>
        </is>
      </c>
      <c r="E7" s="43" t="n">
        <v>1</v>
      </c>
      <c r="F7" s="42" t="n">
        <v>9768.5</v>
      </c>
      <c r="G7" s="42" t="n">
        <v>9704.214285714284</v>
      </c>
      <c r="H7" s="44" t="n">
        <v>51.42857142857143</v>
      </c>
      <c r="I7" s="45" t="n">
        <v>6.1</v>
      </c>
      <c r="J7" s="45" t="n">
        <v>58.18571428571558</v>
      </c>
      <c r="K7" s="46" t="n">
        <v>1.131388888888914</v>
      </c>
      <c r="L7" s="43" t="n">
        <v>31</v>
      </c>
      <c r="M7" s="47" t="n">
        <v>9018.785714285916</v>
      </c>
      <c r="N7" s="47" t="n">
        <v>257399.975</v>
      </c>
      <c r="O7" s="47" t="n">
        <v>9964.285714285634</v>
      </c>
      <c r="P7" s="48" t="n">
        <v>0.0299412684312517</v>
      </c>
      <c r="Q7" s="47" t="n">
        <v>341813.1607142857</v>
      </c>
      <c r="R7" s="42" t="inlineStr">
        <is>
          <t>移动止盈</t>
        </is>
      </c>
      <c r="S7" s="47" t="n">
        <v>2867.5</v>
      </c>
      <c r="T7" s="49" t="n">
        <v>0.9980422810417234</v>
      </c>
    </row>
    <row r="8">
      <c r="A8" s="42" t="n">
        <v>5</v>
      </c>
      <c r="B8" s="42" t="inlineStr">
        <is>
          <t>开多→平多</t>
        </is>
      </c>
      <c r="C8" s="42" t="inlineStr">
        <is>
          <t>2026-05-18 14:15:00</t>
        </is>
      </c>
      <c r="D8" s="42" t="inlineStr">
        <is>
          <t>2026-05-18 15:00:00</t>
        </is>
      </c>
      <c r="E8" s="43" t="n">
        <v>1</v>
      </c>
      <c r="F8" s="42" t="n">
        <v>9774.607142857143</v>
      </c>
      <c r="G8" s="42" t="n">
        <v>9879.517857142859</v>
      </c>
      <c r="H8" s="44" t="n">
        <v>83.92857142857143</v>
      </c>
      <c r="I8" s="45" t="n">
        <v>6.1</v>
      </c>
      <c r="J8" s="45" t="n">
        <v>98.81071428571559</v>
      </c>
      <c r="K8" s="46" t="n">
        <v>1.177319148936186</v>
      </c>
      <c r="L8" s="43" t="n">
        <v>19</v>
      </c>
      <c r="M8" s="47" t="n">
        <v>9387.017857142981</v>
      </c>
      <c r="N8" s="47" t="n">
        <v>157859.9053571429</v>
      </c>
      <c r="O8" s="47" t="n">
        <v>9966.517857142808</v>
      </c>
      <c r="P8" s="48" t="n">
        <v>0.02915779438192436</v>
      </c>
      <c r="Q8" s="47" t="n">
        <v>351200.1785714286</v>
      </c>
      <c r="R8" s="42" t="inlineStr">
        <is>
          <t>移动止盈</t>
        </is>
      </c>
      <c r="S8" s="47" t="n">
        <v>987.3214285714039</v>
      </c>
      <c r="T8" s="49" t="n">
        <v>0.9719264793974788</v>
      </c>
    </row>
    <row r="9">
      <c r="A9" s="50" t="n">
        <v>6</v>
      </c>
      <c r="B9" s="50" t="inlineStr">
        <is>
          <t>开空→平空</t>
        </is>
      </c>
      <c r="C9" s="50" t="inlineStr">
        <is>
          <t>2026-05-27 10:00:00</t>
        </is>
      </c>
      <c r="D9" s="50" t="inlineStr">
        <is>
          <t>2026-05-28 14:15:00</t>
        </is>
      </c>
      <c r="E9" s="51" t="n">
        <v>6</v>
      </c>
      <c r="F9" s="50" t="n">
        <v>9977.75</v>
      </c>
      <c r="G9" s="50" t="n">
        <v>10062.125</v>
      </c>
      <c r="H9" s="52" t="n">
        <v>67.5</v>
      </c>
      <c r="I9" s="53" t="n">
        <v>6.1</v>
      </c>
      <c r="J9" s="53" t="n">
        <v>-90.47499999999999</v>
      </c>
      <c r="K9" s="54" t="n">
        <v>-1.34037037037037</v>
      </c>
      <c r="L9" s="51" t="n">
        <v>24</v>
      </c>
      <c r="M9" s="55" t="n">
        <v>-10857</v>
      </c>
      <c r="N9" s="55" t="n">
        <v>203546.1</v>
      </c>
      <c r="O9" s="55" t="n">
        <v>10125</v>
      </c>
      <c r="P9" s="56" t="n">
        <v>0.02882971199270257</v>
      </c>
      <c r="Q9" s="55" t="n">
        <v>340343.1785714286</v>
      </c>
      <c r="R9" s="50" t="inlineStr">
        <is>
          <t>初始止损</t>
        </is>
      </c>
      <c r="S9" s="55" t="n">
        <v>-10125</v>
      </c>
      <c r="T9" s="57" t="n">
        <v>0.9609903997567523</v>
      </c>
    </row>
    <row r="10">
      <c r="A10" s="50" t="n">
        <v>7</v>
      </c>
      <c r="B10" s="50" t="inlineStr">
        <is>
          <t>开多→平多</t>
        </is>
      </c>
      <c r="C10" s="50" t="inlineStr">
        <is>
          <t>2026-06-05 15:00:00</t>
        </is>
      </c>
      <c r="D10" s="50" t="inlineStr">
        <is>
          <t>2026-06-10 10:00:00</t>
        </is>
      </c>
      <c r="E10" s="51" t="n">
        <v>9</v>
      </c>
      <c r="F10" s="50" t="n">
        <v>9813.375</v>
      </c>
      <c r="G10" s="50" t="n">
        <v>9703.553571428571</v>
      </c>
      <c r="H10" s="52" t="n">
        <v>87.85714285714286</v>
      </c>
      <c r="I10" s="53" t="n">
        <v>6.1</v>
      </c>
      <c r="J10" s="53" t="n">
        <v>-115.9214285714293</v>
      </c>
      <c r="K10" s="54" t="n">
        <v>-1.319430894308952</v>
      </c>
      <c r="L10" s="51" t="n">
        <v>18</v>
      </c>
      <c r="M10" s="55" t="n">
        <v>-10432.92857142864</v>
      </c>
      <c r="N10" s="55" t="n">
        <v>150144.6375</v>
      </c>
      <c r="O10" s="55" t="n">
        <v>9883.928571428642</v>
      </c>
      <c r="P10" s="56" t="n">
        <v>0.02904106558831552</v>
      </c>
      <c r="Q10" s="55" t="n">
        <v>329910.25</v>
      </c>
      <c r="R10" s="50" t="inlineStr">
        <is>
          <t>初始止损</t>
        </is>
      </c>
      <c r="S10" s="55" t="n">
        <v>-9883.928571428642</v>
      </c>
      <c r="T10" s="57" t="n">
        <v>0.9680355196105174</v>
      </c>
    </row>
    <row r="11">
      <c r="A11" s="42" t="n">
        <v>8</v>
      </c>
      <c r="B11" s="42" t="inlineStr">
        <is>
          <t>开多→平多</t>
        </is>
      </c>
      <c r="C11" s="42" t="inlineStr">
        <is>
          <t>2026-07-06 10:00:00</t>
        </is>
      </c>
      <c r="D11" s="42" t="inlineStr">
        <is>
          <t>2026-07-06 11:15:00</t>
        </is>
      </c>
      <c r="E11" s="43" t="n">
        <v>1</v>
      </c>
      <c r="F11" s="42" t="n">
        <v>9094.875</v>
      </c>
      <c r="G11" s="42" t="n">
        <v>9319.875</v>
      </c>
      <c r="H11" s="44" t="n">
        <v>90</v>
      </c>
      <c r="I11" s="45" t="n">
        <v>6.1</v>
      </c>
      <c r="J11" s="45" t="n">
        <v>218.9</v>
      </c>
      <c r="K11" s="46" t="n">
        <v>2.432222222222222</v>
      </c>
      <c r="L11" s="43" t="n">
        <v>17</v>
      </c>
      <c r="M11" s="47" t="n">
        <v>18606.5</v>
      </c>
      <c r="N11" s="47" t="n">
        <v>131420.94375</v>
      </c>
      <c r="O11" s="47" t="n">
        <v>9562.5</v>
      </c>
      <c r="P11" s="48" t="n">
        <v>0.02898515581131535</v>
      </c>
      <c r="Q11" s="47" t="n">
        <v>348516.75</v>
      </c>
      <c r="R11" s="42" t="inlineStr">
        <is>
          <t>移动止盈</t>
        </is>
      </c>
      <c r="S11" s="47" t="n">
        <v>-2539.375</v>
      </c>
      <c r="T11" s="49" t="n">
        <v>0.9661718603771784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8" customWidth="1" min="4" max="4"/>
    <col width="8" customWidth="1" min="5" max="5"/>
    <col width="9" customWidth="1" min="6" max="6"/>
    <col width="9" customWidth="1" min="7" max="7"/>
    <col width="8" customWidth="1" min="8" max="8"/>
    <col width="9" customWidth="1" min="9" max="9"/>
    <col width="10" customWidth="1" min="10" max="10"/>
    <col width="10" customWidth="1" min="11" max="11"/>
    <col width="6" customWidth="1" min="12" max="12"/>
    <col width="12" customWidth="1" min="13" max="13"/>
    <col width="13" customWidth="1" min="14" max="14"/>
    <col width="12" customWidth="1" min="15" max="15"/>
    <col width="8" customWidth="1" min="16" max="16"/>
    <col width="13" customWidth="1" min="17" max="17"/>
    <col width="12" customWidth="1" min="18" max="18"/>
    <col width="13" customWidth="1" min="19" max="19"/>
    <col width="13" customWidth="1" min="20" max="20"/>
  </cols>
  <sheetData>
    <row r="1">
      <c r="A1" s="9" t="inlineStr">
        <is>
          <t>花生 逐笔明细（★推荐资金参数）· D 方案 3% · 60 分钟 ★优选</t>
        </is>
      </c>
    </row>
    <row r="2">
      <c r="A2" s="2" t="inlineStr">
        <is>
          <t>手数 = 按当时权益的 3% 风险预算 ÷ 每手风险，并受保证金上限 80% 约束</t>
        </is>
      </c>
    </row>
    <row r="3" ht="32" customHeight="1">
      <c r="A3" s="6" t="inlineStr">
        <is>
          <t>#</t>
        </is>
      </c>
      <c r="B3" s="6" t="inlineStr">
        <is>
          <t>方向(开→平)</t>
        </is>
      </c>
      <c r="C3" s="6" t="inlineStr">
        <is>
          <t>开仓时间</t>
        </is>
      </c>
      <c r="D3" s="6" t="inlineStr">
        <is>
          <t>平仓时间</t>
        </is>
      </c>
      <c r="E3" s="6" t="inlineStr">
        <is>
          <t>持仓K线</t>
        </is>
      </c>
      <c r="F3" s="6" t="inlineStr">
        <is>
          <t>开仓价</t>
        </is>
      </c>
      <c r="G3" s="6" t="inlineStr">
        <is>
          <t>平仓价</t>
        </is>
      </c>
      <c r="H3" s="6" t="inlineStr">
        <is>
          <t>WV(点)</t>
        </is>
      </c>
      <c r="I3" s="6" t="inlineStr">
        <is>
          <t>成本(点)</t>
        </is>
      </c>
      <c r="J3" s="6" t="inlineStr">
        <is>
          <t>净盈亏(点)</t>
        </is>
      </c>
      <c r="K3" s="6" t="inlineStr">
        <is>
          <t>净盈亏(R)</t>
        </is>
      </c>
      <c r="L3" s="6" t="inlineStr">
        <is>
          <t>手数</t>
        </is>
      </c>
      <c r="M3" s="6" t="inlineStr">
        <is>
          <t>实际盈亏(元)</t>
        </is>
      </c>
      <c r="N3" s="6" t="inlineStr">
        <is>
          <t>保证金占用(元)</t>
        </is>
      </c>
      <c r="O3" s="6" t="inlineStr">
        <is>
          <t>单笔风险(元)</t>
        </is>
      </c>
      <c r="P3" s="6" t="inlineStr">
        <is>
          <t>风险%</t>
        </is>
      </c>
      <c r="Q3" s="6" t="inlineStr">
        <is>
          <t>平仓后权益</t>
        </is>
      </c>
      <c r="R3" s="6" t="inlineStr">
        <is>
          <t>出场原因</t>
        </is>
      </c>
      <c r="S3" s="6" t="inlineStr">
        <is>
          <t>最大浮亏(元)</t>
        </is>
      </c>
      <c r="T3" s="6" t="inlineStr">
        <is>
          <t>风险预算利用率</t>
        </is>
      </c>
    </row>
    <row r="4">
      <c r="A4" s="42" t="n">
        <v>1</v>
      </c>
      <c r="B4" s="42" t="inlineStr">
        <is>
          <t>开多→平多</t>
        </is>
      </c>
      <c r="C4" s="42" t="inlineStr">
        <is>
          <t>2025-12-03 11:15:00</t>
        </is>
      </c>
      <c r="D4" s="42" t="inlineStr">
        <is>
          <t>2025-12-03 14:15:00</t>
        </is>
      </c>
      <c r="E4" s="43" t="n">
        <v>1</v>
      </c>
      <c r="F4" s="42" t="n">
        <v>8124.378571428571</v>
      </c>
      <c r="G4" s="42" t="n">
        <v>8181.878571428571</v>
      </c>
      <c r="H4" s="44" t="n">
        <v>23</v>
      </c>
      <c r="I4" s="45" t="n">
        <v>3.4</v>
      </c>
      <c r="J4" s="45" t="n">
        <v>54.1</v>
      </c>
      <c r="K4" s="46" t="n">
        <v>2.352173913043478</v>
      </c>
      <c r="L4" s="43" t="n">
        <v>49</v>
      </c>
      <c r="M4" s="47" t="n">
        <v>13254.5</v>
      </c>
      <c r="N4" s="47" t="n">
        <v>238856.73</v>
      </c>
      <c r="O4" s="47" t="n">
        <v>7043.75</v>
      </c>
      <c r="P4" s="48" t="n">
        <v>0.02347916666666667</v>
      </c>
      <c r="Q4" s="47" t="n">
        <v>313254.5</v>
      </c>
      <c r="R4" s="42" t="inlineStr">
        <is>
          <t>移动止盈</t>
        </is>
      </c>
      <c r="S4" s="47" t="n">
        <v>12647.25000000001</v>
      </c>
      <c r="T4" s="49" t="n">
        <v>0.782638888888889</v>
      </c>
    </row>
    <row r="5">
      <c r="A5" s="50" t="n">
        <v>2</v>
      </c>
      <c r="B5" s="50" t="inlineStr">
        <is>
          <t>开多→平多</t>
        </is>
      </c>
      <c r="C5" s="50" t="inlineStr">
        <is>
          <t>2025-12-11 15:00:00</t>
        </is>
      </c>
      <c r="D5" s="50" t="inlineStr">
        <is>
          <t>2025-12-11 15:00:00</t>
        </is>
      </c>
      <c r="E5" s="51" t="n">
        <v>0</v>
      </c>
      <c r="F5" s="50" t="n">
        <v>8181.942857142856</v>
      </c>
      <c r="G5" s="50" t="n">
        <v>8167.299999999999</v>
      </c>
      <c r="H5" s="52" t="n">
        <v>11.71428571428571</v>
      </c>
      <c r="I5" s="53" t="n">
        <v>3.4</v>
      </c>
      <c r="J5" s="53" t="n">
        <v>-18.04285714285688</v>
      </c>
      <c r="K5" s="54" t="n">
        <v>-1.540243902439002</v>
      </c>
      <c r="L5" s="51" t="n">
        <v>51</v>
      </c>
      <c r="M5" s="55" t="n">
        <v>-4600.928571428505</v>
      </c>
      <c r="N5" s="55" t="n">
        <v>250367.4514285714</v>
      </c>
      <c r="O5" s="55" t="n">
        <v>3733.928571428505</v>
      </c>
      <c r="P5" s="56" t="n">
        <v>0.01191979228208535</v>
      </c>
      <c r="Q5" s="55" t="n">
        <v>308653.5714285715</v>
      </c>
      <c r="R5" s="50" t="inlineStr">
        <is>
          <t>初始止损</t>
        </is>
      </c>
      <c r="S5" s="55" t="n">
        <v>-3733.928571428505</v>
      </c>
      <c r="T5" s="57" t="n">
        <v>0.397326409402845</v>
      </c>
    </row>
    <row r="6">
      <c r="A6" s="42" t="n">
        <v>3</v>
      </c>
      <c r="B6" s="42" t="inlineStr">
        <is>
          <t>开空→平空</t>
        </is>
      </c>
      <c r="C6" s="42" t="inlineStr">
        <is>
          <t>2025-12-29 10:00:00</t>
        </is>
      </c>
      <c r="D6" s="42" t="inlineStr">
        <is>
          <t>2025-12-29 11:15:00</t>
        </is>
      </c>
      <c r="E6" s="43" t="n">
        <v>1</v>
      </c>
      <c r="F6" s="42" t="n">
        <v>8192.935714285713</v>
      </c>
      <c r="G6" s="42" t="n">
        <v>8172.578571428571</v>
      </c>
      <c r="H6" s="44" t="n">
        <v>16.28571428571428</v>
      </c>
      <c r="I6" s="45" t="n">
        <v>3.4</v>
      </c>
      <c r="J6" s="45" t="n">
        <v>16.95714285714221</v>
      </c>
      <c r="K6" s="46" t="n">
        <v>1.041228070175399</v>
      </c>
      <c r="L6" s="43" t="n">
        <v>50</v>
      </c>
      <c r="M6" s="47" t="n">
        <v>4239.285714285553</v>
      </c>
      <c r="N6" s="47" t="n">
        <v>245788.0714285714</v>
      </c>
      <c r="O6" s="47" t="n">
        <v>5089.285714285779</v>
      </c>
      <c r="P6" s="48" t="n">
        <v>0.01648866621154112</v>
      </c>
      <c r="Q6" s="47" t="n">
        <v>312892.857142857</v>
      </c>
      <c r="R6" s="42" t="inlineStr">
        <is>
          <t>移动止盈</t>
        </is>
      </c>
      <c r="S6" s="47" t="n">
        <v>-266.0714285716494</v>
      </c>
      <c r="T6" s="49" t="n">
        <v>0.5496222070513705</v>
      </c>
    </row>
    <row r="7">
      <c r="A7" s="42" t="n">
        <v>4</v>
      </c>
      <c r="B7" s="42" t="inlineStr">
        <is>
          <t>开多→平多</t>
        </is>
      </c>
      <c r="C7" s="42" t="inlineStr">
        <is>
          <t>2026-01-13 14:15:00</t>
        </is>
      </c>
      <c r="D7" s="42" t="inlineStr">
        <is>
          <t>2026-01-13 15:00:00</t>
        </is>
      </c>
      <c r="E7" s="43" t="n">
        <v>1</v>
      </c>
      <c r="F7" s="42" t="n">
        <v>8172.321428571428</v>
      </c>
      <c r="G7" s="42" t="n">
        <v>8218.75</v>
      </c>
      <c r="H7" s="44" t="n">
        <v>18.57142857142857</v>
      </c>
      <c r="I7" s="45" t="n">
        <v>3.4</v>
      </c>
      <c r="J7" s="45" t="n">
        <v>43.02857142857156</v>
      </c>
      <c r="K7" s="46" t="n">
        <v>2.316923076923084</v>
      </c>
      <c r="L7" s="43" t="n">
        <v>51</v>
      </c>
      <c r="M7" s="47" t="n">
        <v>10972.28571428575</v>
      </c>
      <c r="N7" s="47" t="n">
        <v>250073.0357142857</v>
      </c>
      <c r="O7" s="47" t="n">
        <v>5919.642857142758</v>
      </c>
      <c r="P7" s="48" t="n">
        <v>0.01891907316516348</v>
      </c>
      <c r="Q7" s="47" t="n">
        <v>323865.1428571428</v>
      </c>
      <c r="R7" s="42" t="inlineStr">
        <is>
          <t>移动止盈</t>
        </is>
      </c>
      <c r="S7" s="47" t="n">
        <v>7568.035714285747</v>
      </c>
      <c r="T7" s="49" t="n">
        <v>0.6306357721721161</v>
      </c>
    </row>
    <row r="8">
      <c r="A8" s="42" t="n">
        <v>5</v>
      </c>
      <c r="B8" s="42" t="inlineStr">
        <is>
          <t>开空→平空</t>
        </is>
      </c>
      <c r="C8" s="42" t="inlineStr">
        <is>
          <t>2026-01-27 10:00:00</t>
        </is>
      </c>
      <c r="D8" s="42" t="inlineStr">
        <is>
          <t>2026-01-27 11:15:00</t>
        </is>
      </c>
      <c r="E8" s="43" t="n">
        <v>1</v>
      </c>
      <c r="F8" s="42" t="n">
        <v>8217.807142857142</v>
      </c>
      <c r="G8" s="42" t="n">
        <v>8182.449999999998</v>
      </c>
      <c r="H8" s="44" t="n">
        <v>14.14285714285714</v>
      </c>
      <c r="I8" s="45" t="n">
        <v>3.4</v>
      </c>
      <c r="J8" s="45" t="n">
        <v>31.95714285714403</v>
      </c>
      <c r="K8" s="46" t="n">
        <v>2.259595959596043</v>
      </c>
      <c r="L8" s="43" t="n">
        <v>52</v>
      </c>
      <c r="M8" s="47" t="n">
        <v>8308.857142857447</v>
      </c>
      <c r="N8" s="47" t="n">
        <v>256395.5828571428</v>
      </c>
      <c r="O8" s="47" t="n">
        <v>4596.428571428369</v>
      </c>
      <c r="P8" s="48" t="n">
        <v>0.01419241518515581</v>
      </c>
      <c r="Q8" s="47" t="n">
        <v>332174.0000000002</v>
      </c>
      <c r="R8" s="42" t="inlineStr">
        <is>
          <t>移动止盈</t>
        </is>
      </c>
      <c r="S8" s="47" t="n">
        <v>4109.857142856927</v>
      </c>
      <c r="T8" s="49" t="n">
        <v>0.4730805061718604</v>
      </c>
    </row>
    <row r="9">
      <c r="A9" s="50" t="n">
        <v>6</v>
      </c>
      <c r="B9" s="50" t="inlineStr">
        <is>
          <t>开空→平空</t>
        </is>
      </c>
      <c r="C9" s="50" t="inlineStr">
        <is>
          <t>2026-02-10 10:00:00</t>
        </is>
      </c>
      <c r="D9" s="50" t="inlineStr">
        <is>
          <t>2026-02-10 10:00:00</t>
        </is>
      </c>
      <c r="E9" s="51" t="n">
        <v>0</v>
      </c>
      <c r="F9" s="50" t="n">
        <v>8221.385714285714</v>
      </c>
      <c r="G9" s="50" t="n">
        <v>8249.421428571428</v>
      </c>
      <c r="H9" s="52" t="n">
        <v>22.42857142857143</v>
      </c>
      <c r="I9" s="53" t="n">
        <v>3.4</v>
      </c>
      <c r="J9" s="53" t="n">
        <v>-31.43571428571376</v>
      </c>
      <c r="K9" s="54" t="n">
        <v>-1.401592356687875</v>
      </c>
      <c r="L9" s="51" t="n">
        <v>53</v>
      </c>
      <c r="M9" s="55" t="n">
        <v>-8330.464285714148</v>
      </c>
      <c r="N9" s="55" t="n">
        <v>261440.0657142857</v>
      </c>
      <c r="O9" s="55" t="n">
        <v>7429.464285714148</v>
      </c>
      <c r="P9" s="56" t="n">
        <v>0.02236618243966759</v>
      </c>
      <c r="Q9" s="55" t="n">
        <v>323843.5357142861</v>
      </c>
      <c r="R9" s="50" t="inlineStr">
        <is>
          <t>初始止损</t>
        </is>
      </c>
      <c r="S9" s="55" t="n">
        <v>4077.214285714244</v>
      </c>
      <c r="T9" s="57" t="n">
        <v>0.7455394146555864</v>
      </c>
    </row>
    <row r="10">
      <c r="A10" s="42" t="n">
        <v>7</v>
      </c>
      <c r="B10" s="42" t="inlineStr">
        <is>
          <t>开空→平空</t>
        </is>
      </c>
      <c r="C10" s="42" t="inlineStr">
        <is>
          <t>2026-03-02 10:00:00</t>
        </is>
      </c>
      <c r="D10" s="42" t="inlineStr">
        <is>
          <t>2026-03-02 11:15:00</t>
        </is>
      </c>
      <c r="E10" s="43" t="n">
        <v>1</v>
      </c>
      <c r="F10" s="42" t="n">
        <v>8225.214285714286</v>
      </c>
      <c r="G10" s="42" t="n">
        <v>8195.928571428572</v>
      </c>
      <c r="H10" s="44" t="n">
        <v>11.71428571428571</v>
      </c>
      <c r="I10" s="45" t="n">
        <v>3.4</v>
      </c>
      <c r="J10" s="45" t="n">
        <v>25.88571428571377</v>
      </c>
      <c r="K10" s="46" t="n">
        <v>2.209756097560931</v>
      </c>
      <c r="L10" s="43" t="n">
        <v>52</v>
      </c>
      <c r="M10" s="47" t="n">
        <v>6730.285714285579</v>
      </c>
      <c r="N10" s="47" t="n">
        <v>256626.6857142858</v>
      </c>
      <c r="O10" s="47" t="n">
        <v>3807.14285714279</v>
      </c>
      <c r="P10" s="48" t="n">
        <v>0.01175611811656378</v>
      </c>
      <c r="Q10" s="47" t="n">
        <v>330573.8214285717</v>
      </c>
      <c r="R10" s="42" t="inlineStr">
        <is>
          <t>移动止盈</t>
        </is>
      </c>
      <c r="S10" s="47" t="n">
        <v>4475.714285714421</v>
      </c>
      <c r="T10" s="49" t="n">
        <v>0.3918706038854594</v>
      </c>
    </row>
    <row r="11">
      <c r="A11" s="50" t="n">
        <v>8</v>
      </c>
      <c r="B11" s="50" t="inlineStr">
        <is>
          <t>开空→平空</t>
        </is>
      </c>
      <c r="C11" s="50" t="inlineStr">
        <is>
          <t>2026-03-09 10:00:00</t>
        </is>
      </c>
      <c r="D11" s="50" t="inlineStr">
        <is>
          <t>2026-03-09 10:00:00</t>
        </is>
      </c>
      <c r="E11" s="51" t="n">
        <v>0</v>
      </c>
      <c r="F11" s="50" t="n">
        <v>8239.857142857143</v>
      </c>
      <c r="G11" s="50" t="n">
        <v>8276.642857142857</v>
      </c>
      <c r="H11" s="52" t="n">
        <v>29.42857142857143</v>
      </c>
      <c r="I11" s="53" t="n">
        <v>3.4</v>
      </c>
      <c r="J11" s="53" t="n">
        <v>-40.18571428571376</v>
      </c>
      <c r="K11" s="54" t="n">
        <v>-1.365533980582507</v>
      </c>
      <c r="L11" s="51" t="n">
        <v>53</v>
      </c>
      <c r="M11" s="55" t="n">
        <v>-10649.21428571415</v>
      </c>
      <c r="N11" s="55" t="n">
        <v>262027.4571428572</v>
      </c>
      <c r="O11" s="55" t="n">
        <v>9748.214285714148</v>
      </c>
      <c r="P11" s="56" t="n">
        <v>0.0294887666651501</v>
      </c>
      <c r="Q11" s="55" t="n">
        <v>319924.6071428575</v>
      </c>
      <c r="R11" s="50" t="inlineStr">
        <is>
          <t>初始止损</t>
        </is>
      </c>
      <c r="S11" s="55" t="n">
        <v>-9748.214285714148</v>
      </c>
      <c r="T11" s="57" t="n">
        <v>0.9829588888383368</v>
      </c>
    </row>
    <row r="12">
      <c r="A12" s="42" t="n">
        <v>9</v>
      </c>
      <c r="B12" s="42" t="inlineStr">
        <is>
          <t>开空→平空</t>
        </is>
      </c>
      <c r="C12" s="42" t="inlineStr">
        <is>
          <t>2026-03-26 11:15:00</t>
        </is>
      </c>
      <c r="D12" s="42" t="inlineStr">
        <is>
          <t>2026-03-26 14:15:00</t>
        </is>
      </c>
      <c r="E12" s="43" t="n">
        <v>1</v>
      </c>
      <c r="F12" s="42" t="n">
        <v>8361.407142857142</v>
      </c>
      <c r="G12" s="42" t="n">
        <v>8293.907142857142</v>
      </c>
      <c r="H12" s="44" t="n">
        <v>27</v>
      </c>
      <c r="I12" s="45" t="n">
        <v>3.4</v>
      </c>
      <c r="J12" s="45" t="n">
        <v>64.09999999999999</v>
      </c>
      <c r="K12" s="46" t="n">
        <v>2.374074074074074</v>
      </c>
      <c r="L12" s="43" t="n">
        <v>51</v>
      </c>
      <c r="M12" s="47" t="n">
        <v>16345.5</v>
      </c>
      <c r="N12" s="47" t="n">
        <v>255859.0585714286</v>
      </c>
      <c r="O12" s="47" t="n">
        <v>8606.25</v>
      </c>
      <c r="P12" s="48" t="n">
        <v>0.02690086916683157</v>
      </c>
      <c r="Q12" s="47" t="n">
        <v>336270.1071428575</v>
      </c>
      <c r="R12" s="42" t="inlineStr">
        <is>
          <t>移动止盈</t>
        </is>
      </c>
      <c r="S12" s="47" t="n">
        <v>-4741.178571428691</v>
      </c>
      <c r="T12" s="49" t="n">
        <v>0.8966956388943857</v>
      </c>
    </row>
    <row r="13">
      <c r="A13" s="42" t="n">
        <v>10</v>
      </c>
      <c r="B13" s="42" t="inlineStr">
        <is>
          <t>开多→平多</t>
        </is>
      </c>
      <c r="C13" s="42" t="inlineStr">
        <is>
          <t>2026-04-08 15:00:00</t>
        </is>
      </c>
      <c r="D13" s="42" t="inlineStr">
        <is>
          <t>2026-04-09 10:00:00</t>
        </is>
      </c>
      <c r="E13" s="43" t="n">
        <v>1</v>
      </c>
      <c r="F13" s="42" t="n">
        <v>8276.25</v>
      </c>
      <c r="G13" s="42" t="n">
        <v>8311.428571428572</v>
      </c>
      <c r="H13" s="44" t="n">
        <v>28.14285714285714</v>
      </c>
      <c r="I13" s="45" t="n">
        <v>3.4</v>
      </c>
      <c r="J13" s="45" t="n">
        <v>31.77857142857247</v>
      </c>
      <c r="K13" s="46" t="n">
        <v>1.12918781725892</v>
      </c>
      <c r="L13" s="43" t="n">
        <v>54</v>
      </c>
      <c r="M13" s="47" t="n">
        <v>8580.214285714566</v>
      </c>
      <c r="N13" s="47" t="n">
        <v>268150.5</v>
      </c>
      <c r="O13" s="47" t="n">
        <v>9498.214285714075</v>
      </c>
      <c r="P13" s="48" t="n">
        <v>0.02824578838248906</v>
      </c>
      <c r="Q13" s="47" t="n">
        <v>344850.3214285721</v>
      </c>
      <c r="R13" s="42" t="inlineStr">
        <is>
          <t>移动止盈</t>
        </is>
      </c>
      <c r="S13" s="47" t="n">
        <v>1012.5</v>
      </c>
      <c r="T13" s="49" t="n">
        <v>0.9415262794163018</v>
      </c>
    </row>
    <row r="14">
      <c r="A14" s="42" t="n">
        <v>11</v>
      </c>
      <c r="B14" s="42" t="inlineStr">
        <is>
          <t>开空→平空</t>
        </is>
      </c>
      <c r="C14" s="42" t="inlineStr">
        <is>
          <t>2026-04-22 10:00:00</t>
        </is>
      </c>
      <c r="D14" s="42" t="inlineStr">
        <is>
          <t>2026-04-22 11:15:00</t>
        </is>
      </c>
      <c r="E14" s="43" t="n">
        <v>1</v>
      </c>
      <c r="F14" s="42" t="n">
        <v>8353.35</v>
      </c>
      <c r="G14" s="42" t="n">
        <v>8324.957142857143</v>
      </c>
      <c r="H14" s="44" t="n">
        <v>22.71428571428572</v>
      </c>
      <c r="I14" s="45" t="n">
        <v>3.4</v>
      </c>
      <c r="J14" s="45" t="n">
        <v>24.99285714285688</v>
      </c>
      <c r="K14" s="46" t="n">
        <v>1.100314465408794</v>
      </c>
      <c r="L14" s="43" t="n">
        <v>55</v>
      </c>
      <c r="M14" s="47" t="n">
        <v>6873.035714285643</v>
      </c>
      <c r="N14" s="47" t="n">
        <v>275660.55</v>
      </c>
      <c r="O14" s="47" t="n">
        <v>7808.035714285643</v>
      </c>
      <c r="P14" s="48" t="n">
        <v>0.02264181074832752</v>
      </c>
      <c r="Q14" s="47" t="n">
        <v>351723.3571428577</v>
      </c>
      <c r="R14" s="42" t="inlineStr">
        <is>
          <t>移动止盈</t>
        </is>
      </c>
      <c r="S14" s="47" t="n">
        <v>-7808.035714285643</v>
      </c>
      <c r="T14" s="49" t="n">
        <v>0.7547270249442506</v>
      </c>
    </row>
    <row r="15">
      <c r="A15" s="42" t="n">
        <v>12</v>
      </c>
      <c r="B15" s="42" t="inlineStr">
        <is>
          <t>开空→平空</t>
        </is>
      </c>
      <c r="C15" s="42" t="inlineStr">
        <is>
          <t>2026-06-03 10:00:00</t>
        </is>
      </c>
      <c r="D15" s="42" t="inlineStr">
        <is>
          <t>2026-06-03 11:15:00</t>
        </is>
      </c>
      <c r="E15" s="43" t="n">
        <v>1</v>
      </c>
      <c r="F15" s="42" t="n">
        <v>8178.664285714285</v>
      </c>
      <c r="G15" s="42" t="n">
        <v>8107.95</v>
      </c>
      <c r="H15" s="44" t="n">
        <v>28.28571428571428</v>
      </c>
      <c r="I15" s="45" t="n">
        <v>3.4</v>
      </c>
      <c r="J15" s="45" t="n">
        <v>67.31428571428532</v>
      </c>
      <c r="K15" s="46" t="n">
        <v>2.379797979797966</v>
      </c>
      <c r="L15" s="43" t="n">
        <v>57</v>
      </c>
      <c r="M15" s="47" t="n">
        <v>19184.57142857132</v>
      </c>
      <c r="N15" s="47" t="n">
        <v>279710.3185714285</v>
      </c>
      <c r="O15" s="47" t="n">
        <v>10076.78571428579</v>
      </c>
      <c r="P15" s="48" t="n">
        <v>0.0286497484731813</v>
      </c>
      <c r="Q15" s="47" t="n">
        <v>370907.928571429</v>
      </c>
      <c r="R15" s="42" t="inlineStr">
        <is>
          <t>移动止盈</t>
        </is>
      </c>
      <c r="S15" s="47" t="n">
        <v>-380.6785714287344</v>
      </c>
      <c r="T15" s="49" t="n">
        <v>0.95499161577271</v>
      </c>
    </row>
    <row r="16">
      <c r="A16" s="42" t="n">
        <v>13</v>
      </c>
      <c r="B16" s="42" t="inlineStr">
        <is>
          <t>开多→平多</t>
        </is>
      </c>
      <c r="C16" s="42" t="inlineStr">
        <is>
          <t>2026-06-22 11:15:00</t>
        </is>
      </c>
      <c r="D16" s="42" t="inlineStr">
        <is>
          <t>2026-06-22 14:15:00</t>
        </is>
      </c>
      <c r="E16" s="43" t="n">
        <v>1</v>
      </c>
      <c r="F16" s="42" t="n">
        <v>8281.042857142857</v>
      </c>
      <c r="G16" s="42" t="n">
        <v>8370.685714285713</v>
      </c>
      <c r="H16" s="44" t="n">
        <v>35.85714285714285</v>
      </c>
      <c r="I16" s="45" t="n">
        <v>3.4</v>
      </c>
      <c r="J16" s="45" t="n">
        <v>86.24285714285688</v>
      </c>
      <c r="K16" s="46" t="n">
        <v>2.405179282868519</v>
      </c>
      <c r="L16" s="43" t="n">
        <v>49</v>
      </c>
      <c r="M16" s="47" t="n">
        <v>21129.49999999993</v>
      </c>
      <c r="N16" s="47" t="n">
        <v>243462.66</v>
      </c>
      <c r="O16" s="47" t="n">
        <v>10981.25000000019</v>
      </c>
      <c r="P16" s="48" t="n">
        <v>0.02960640405368265</v>
      </c>
      <c r="Q16" s="47" t="n">
        <v>392037.4285714289</v>
      </c>
      <c r="R16" s="42" t="inlineStr">
        <is>
          <t>移动止盈</t>
        </is>
      </c>
      <c r="S16" s="47" t="n">
        <v>1214.500000000153</v>
      </c>
      <c r="T16" s="49" t="n">
        <v>0.9868801351227551</v>
      </c>
    </row>
    <row r="17">
      <c r="A17" s="42" t="n">
        <v>14</v>
      </c>
      <c r="B17" s="42" t="inlineStr">
        <is>
          <t>开空→平空</t>
        </is>
      </c>
      <c r="C17" s="42" t="inlineStr">
        <is>
          <t>2026-06-29 10:00:00</t>
        </is>
      </c>
      <c r="D17" s="42" t="inlineStr">
        <is>
          <t>2026-06-29 11:15:00</t>
        </is>
      </c>
      <c r="E17" s="43" t="n">
        <v>1</v>
      </c>
      <c r="F17" s="42" t="n">
        <v>8435.02142857143</v>
      </c>
      <c r="G17" s="42" t="n">
        <v>8393.950000000003</v>
      </c>
      <c r="H17" s="44" t="n">
        <v>32.85714285714285</v>
      </c>
      <c r="I17" s="45" t="n">
        <v>3.4</v>
      </c>
      <c r="J17" s="45" t="n">
        <v>37.67142857142753</v>
      </c>
      <c r="K17" s="46" t="n">
        <v>1.146521739130403</v>
      </c>
      <c r="L17" s="43" t="n">
        <v>57</v>
      </c>
      <c r="M17" s="47" t="n">
        <v>10736.35714285685</v>
      </c>
      <c r="N17" s="47" t="n">
        <v>288477.7328571429</v>
      </c>
      <c r="O17" s="47" t="n">
        <v>11705.35714285737</v>
      </c>
      <c r="P17" s="48" t="n">
        <v>0.02985775410656908</v>
      </c>
      <c r="Q17" s="47" t="n">
        <v>402773.7857142858</v>
      </c>
      <c r="R17" s="42" t="inlineStr">
        <is>
          <t>移动止盈</t>
        </is>
      </c>
      <c r="S17" s="47" t="n">
        <v>2571.107142857572</v>
      </c>
      <c r="T17" s="49" t="n">
        <v>0.9952584702189693</v>
      </c>
    </row>
    <row r="18">
      <c r="A18" s="42" t="n">
        <v>15</v>
      </c>
      <c r="B18" s="42" t="inlineStr">
        <is>
          <t>开多→平多</t>
        </is>
      </c>
      <c r="C18" s="42" t="inlineStr">
        <is>
          <t>2026-07-08 14:15:00</t>
        </is>
      </c>
      <c r="D18" s="42" t="inlineStr">
        <is>
          <t>2026-07-10 14:15:00</t>
        </is>
      </c>
      <c r="E18" s="43" t="n">
        <v>8</v>
      </c>
      <c r="F18" s="42" t="n">
        <v>8355.164285714287</v>
      </c>
      <c r="G18" s="42" t="n">
        <v>8401.235714285714</v>
      </c>
      <c r="H18" s="44" t="n">
        <v>36.85714285714285</v>
      </c>
      <c r="I18" s="45" t="n">
        <v>3.4</v>
      </c>
      <c r="J18" s="45" t="n">
        <v>42.67142857142753</v>
      </c>
      <c r="K18" s="46" t="n">
        <v>1.157751937984468</v>
      </c>
      <c r="L18" s="43" t="n">
        <v>52</v>
      </c>
      <c r="M18" s="47" t="n">
        <v>11094.57142857116</v>
      </c>
      <c r="N18" s="47" t="n">
        <v>260681.1257142857</v>
      </c>
      <c r="O18" s="47" t="n">
        <v>11978.57142857163</v>
      </c>
      <c r="P18" s="48" t="n">
        <v>0.0297401962427337</v>
      </c>
      <c r="Q18" s="47" t="n">
        <v>413868.357142857</v>
      </c>
      <c r="R18" s="42" t="inlineStr">
        <is>
          <t>移动止盈</t>
        </is>
      </c>
      <c r="S18" s="47" t="n">
        <v>-2902.71428571461</v>
      </c>
      <c r="T18" s="49" t="n">
        <v>0.9913398747577902</v>
      </c>
    </row>
    <row r="19">
      <c r="A19" s="42" t="n">
        <v>16</v>
      </c>
      <c r="B19" s="42" t="inlineStr">
        <is>
          <t>开多→平多</t>
        </is>
      </c>
      <c r="C19" s="42" t="inlineStr">
        <is>
          <t>2026-08-03 10:00:00</t>
        </is>
      </c>
      <c r="D19" s="42" t="inlineStr">
        <is>
          <t>2026-08-04 11:15:00</t>
        </is>
      </c>
      <c r="E19" s="43" t="n">
        <v>5</v>
      </c>
      <c r="F19" s="42" t="n">
        <v>8161.478571428571</v>
      </c>
      <c r="G19" s="42" t="n">
        <v>8199.157142857142</v>
      </c>
      <c r="H19" s="44" t="n">
        <v>30.14285714285714</v>
      </c>
      <c r="I19" s="45" t="n">
        <v>3.4</v>
      </c>
      <c r="J19" s="45" t="n">
        <v>34.27857142857156</v>
      </c>
      <c r="K19" s="46" t="n">
        <v>1.137203791469199</v>
      </c>
      <c r="L19" s="43" t="n">
        <v>65</v>
      </c>
      <c r="M19" s="47" t="n">
        <v>11140.53571428576</v>
      </c>
      <c r="N19" s="47" t="n">
        <v>318297.6642857143</v>
      </c>
      <c r="O19" s="47" t="n">
        <v>12245.53571428576</v>
      </c>
      <c r="P19" s="48" t="n">
        <v>0.02958799701147219</v>
      </c>
      <c r="Q19" s="47" t="n">
        <v>425008.8928571427</v>
      </c>
      <c r="R19" s="42" t="inlineStr">
        <is>
          <t>移动止盈</t>
        </is>
      </c>
      <c r="S19" s="47" t="n">
        <v>-6330.53571428552</v>
      </c>
      <c r="T19" s="49" t="n">
        <v>0.9862665670490728</v>
      </c>
    </row>
    <row r="20">
      <c r="A20" s="50" t="n">
        <v>17</v>
      </c>
      <c r="B20" s="50" t="inlineStr">
        <is>
          <t>开空→平空</t>
        </is>
      </c>
      <c r="C20" s="50" t="inlineStr">
        <is>
          <t>2026-08-14 14:15:00</t>
        </is>
      </c>
      <c r="D20" s="50" t="inlineStr">
        <is>
          <t>2026-08-14 14:15:00</t>
        </is>
      </c>
      <c r="E20" s="51" t="n">
        <v>0</v>
      </c>
      <c r="F20" s="50" t="n">
        <v>8240.957142857143</v>
      </c>
      <c r="G20" s="50" t="n">
        <v>8269.528571428573</v>
      </c>
      <c r="H20" s="52" t="n">
        <v>22.85714285714286</v>
      </c>
      <c r="I20" s="53" t="n">
        <v>3.4</v>
      </c>
      <c r="J20" s="53" t="n">
        <v>-31.97142857142935</v>
      </c>
      <c r="K20" s="54" t="n">
        <v>-1.398750000000034</v>
      </c>
      <c r="L20" s="51" t="n">
        <v>68</v>
      </c>
      <c r="M20" s="55" t="n">
        <v>-10870.28571428598</v>
      </c>
      <c r="N20" s="55" t="n">
        <v>336231.0514285715</v>
      </c>
      <c r="O20" s="55" t="n">
        <v>9714.285714285979</v>
      </c>
      <c r="P20" s="56" t="n">
        <v>0.02285666459584228</v>
      </c>
      <c r="Q20" s="55" t="n">
        <v>414138.6071428568</v>
      </c>
      <c r="R20" s="50" t="inlineStr">
        <is>
          <t>初始止损</t>
        </is>
      </c>
      <c r="S20" s="55" t="n">
        <v>9845.428571428783</v>
      </c>
      <c r="T20" s="57" t="n">
        <v>0.7618888198614093</v>
      </c>
    </row>
    <row r="21">
      <c r="A21" s="42" t="n">
        <v>18</v>
      </c>
      <c r="B21" s="42" t="inlineStr">
        <is>
          <t>开多→平多</t>
        </is>
      </c>
      <c r="C21" s="42" t="inlineStr">
        <is>
          <t>2026-08-19 10:00:00</t>
        </is>
      </c>
      <c r="D21" s="42" t="inlineStr">
        <is>
          <t>2026-08-19 11:15:00</t>
        </is>
      </c>
      <c r="E21" s="43" t="n">
        <v>1</v>
      </c>
      <c r="F21" s="42" t="n">
        <v>8131.535714285715</v>
      </c>
      <c r="G21" s="42" t="n">
        <v>8209.75</v>
      </c>
      <c r="H21" s="44" t="n">
        <v>31.28571428571428</v>
      </c>
      <c r="I21" s="45" t="n">
        <v>3.4</v>
      </c>
      <c r="J21" s="45" t="n">
        <v>74.81428571428532</v>
      </c>
      <c r="K21" s="46" t="n">
        <v>2.39132420091323</v>
      </c>
      <c r="L21" s="43" t="n">
        <v>63</v>
      </c>
      <c r="M21" s="47" t="n">
        <v>23566.49999999987</v>
      </c>
      <c r="N21" s="47" t="n">
        <v>307372.05</v>
      </c>
      <c r="O21" s="47" t="n">
        <v>12318.75000000008</v>
      </c>
      <c r="P21" s="48" t="n">
        <v>0.02974547600134932</v>
      </c>
      <c r="Q21" s="47" t="n">
        <v>437705.1071428566</v>
      </c>
      <c r="R21" s="42" t="inlineStr">
        <is>
          <t>移动止盈</t>
        </is>
      </c>
      <c r="S21" s="47" t="n">
        <v>7076.249999999877</v>
      </c>
      <c r="T21" s="49" t="n">
        <v>0.991515866711644</v>
      </c>
    </row>
    <row r="22">
      <c r="A22" s="50" t="n">
        <v>19</v>
      </c>
      <c r="B22" s="50" t="inlineStr">
        <is>
          <t>开空→平空</t>
        </is>
      </c>
      <c r="C22" s="50" t="inlineStr">
        <is>
          <t>2026-09-08 14:15:00</t>
        </is>
      </c>
      <c r="D22" s="50" t="inlineStr">
        <is>
          <t>2026-09-08 14:15:00</t>
        </is>
      </c>
      <c r="E22" s="51" t="n">
        <v>0</v>
      </c>
      <c r="F22" s="50" t="n">
        <v>8097.878571428571</v>
      </c>
      <c r="G22" s="50" t="n">
        <v>8137.342857142857</v>
      </c>
      <c r="H22" s="52" t="n">
        <v>31.57142857142857</v>
      </c>
      <c r="I22" s="53" t="n">
        <v>3.4</v>
      </c>
      <c r="J22" s="53" t="n">
        <v>-42.86428571428532</v>
      </c>
      <c r="K22" s="54" t="n">
        <v>-1.357692307692295</v>
      </c>
      <c r="L22" s="51" t="n">
        <v>66</v>
      </c>
      <c r="M22" s="55" t="n">
        <v>-14145.21428571416</v>
      </c>
      <c r="N22" s="55" t="n">
        <v>320675.9914285714</v>
      </c>
      <c r="O22" s="55" t="n">
        <v>13023.21428571416</v>
      </c>
      <c r="P22" s="56" t="n">
        <v>0.02975339805999496</v>
      </c>
      <c r="Q22" s="55" t="n">
        <v>423559.8928571425</v>
      </c>
      <c r="R22" s="50" t="inlineStr">
        <is>
          <t>初始止损</t>
        </is>
      </c>
      <c r="S22" s="55" t="n">
        <v>-10600.07142857145</v>
      </c>
      <c r="T22" s="57" t="n">
        <v>0.9917799353331653</v>
      </c>
    </row>
    <row r="23">
      <c r="A23" s="42" t="n">
        <v>20</v>
      </c>
      <c r="B23" s="42" t="inlineStr">
        <is>
          <t>开多→平多</t>
        </is>
      </c>
      <c r="C23" s="42" t="inlineStr">
        <is>
          <t>2026-09-10 14:15:00</t>
        </is>
      </c>
      <c r="D23" s="42" t="inlineStr">
        <is>
          <t>2026-09-10 15:00:00</t>
        </is>
      </c>
      <c r="E23" s="43" t="n">
        <v>1</v>
      </c>
      <c r="F23" s="42" t="n">
        <v>7933.085714285715</v>
      </c>
      <c r="G23" s="42" t="n">
        <v>7984.514285714286</v>
      </c>
      <c r="H23" s="44" t="n">
        <v>41.14285714285715</v>
      </c>
      <c r="I23" s="45" t="n">
        <v>3.4</v>
      </c>
      <c r="J23" s="45" t="n">
        <v>48.02857142857156</v>
      </c>
      <c r="K23" s="46" t="n">
        <v>1.167361111111114</v>
      </c>
      <c r="L23" s="43" t="n">
        <v>49</v>
      </c>
      <c r="M23" s="47" t="n">
        <v>11767.00000000003</v>
      </c>
      <c r="N23" s="47" t="n">
        <v>233232.72</v>
      </c>
      <c r="O23" s="47" t="n">
        <v>12600.00000000003</v>
      </c>
      <c r="P23" s="48" t="n">
        <v>0.02974785906901185</v>
      </c>
      <c r="Q23" s="47" t="n">
        <v>435326.8928571425</v>
      </c>
      <c r="R23" s="42" t="inlineStr">
        <is>
          <t>移动止盈</t>
        </is>
      </c>
      <c r="S23" s="47" t="n">
        <v>-8596.00000000014</v>
      </c>
      <c r="T23" s="49" t="n">
        <v>0.9915953023003948</v>
      </c>
    </row>
    <row r="24">
      <c r="A24" s="42" t="n">
        <v>21</v>
      </c>
      <c r="B24" s="42" t="inlineStr">
        <is>
          <t>开空→平空</t>
        </is>
      </c>
      <c r="C24" s="42" t="inlineStr">
        <is>
          <t>2026-09-23 10:00:00</t>
        </is>
      </c>
      <c r="D24" s="42" t="inlineStr">
        <is>
          <t>2026-09-30 10:00:00</t>
        </is>
      </c>
      <c r="E24" s="43" t="n">
        <v>16</v>
      </c>
      <c r="F24" s="42" t="n">
        <v>7986</v>
      </c>
      <c r="G24" s="42" t="n">
        <v>7906</v>
      </c>
      <c r="H24" s="44" t="n">
        <v>32</v>
      </c>
      <c r="I24" s="45" t="n">
        <v>3.4</v>
      </c>
      <c r="J24" s="45" t="n">
        <v>76.59999999999999</v>
      </c>
      <c r="K24" s="46" t="n">
        <v>2.39375</v>
      </c>
      <c r="L24" s="43" t="n">
        <v>65</v>
      </c>
      <c r="M24" s="47" t="n">
        <v>24895</v>
      </c>
      <c r="N24" s="47" t="n">
        <v>311453.9999999999</v>
      </c>
      <c r="O24" s="47" t="n">
        <v>13000</v>
      </c>
      <c r="P24" s="48" t="n">
        <v>0.02986261637703623</v>
      </c>
      <c r="Q24" s="47" t="n">
        <v>460221.8928571425</v>
      </c>
      <c r="R24" s="42" t="inlineStr">
        <is>
          <t>移动止盈</t>
        </is>
      </c>
      <c r="S24" s="47" t="n">
        <v>-7800</v>
      </c>
      <c r="T24" s="49" t="n">
        <v>0.9954205459012075</v>
      </c>
    </row>
    <row r="25">
      <c r="A25" s="42" t="n">
        <v>22</v>
      </c>
      <c r="B25" s="42" t="inlineStr">
        <is>
          <t>开空→平空</t>
        </is>
      </c>
      <c r="C25" s="42" t="inlineStr">
        <is>
          <t>2026-09-30 11:15:00</t>
        </is>
      </c>
      <c r="D25" s="42" t="inlineStr">
        <is>
          <t>2026-09-30 14:15:00</t>
        </is>
      </c>
      <c r="E25" s="43" t="n">
        <v>1</v>
      </c>
      <c r="F25" s="42" t="n">
        <v>7996.292857142857</v>
      </c>
      <c r="G25" s="42" t="n">
        <v>7927.364285714285</v>
      </c>
      <c r="H25" s="44" t="n">
        <v>27.57142857142857</v>
      </c>
      <c r="I25" s="45" t="n">
        <v>3.4</v>
      </c>
      <c r="J25" s="45" t="n">
        <v>65.52857142857155</v>
      </c>
      <c r="K25" s="46" t="n">
        <v>2.376683937823838</v>
      </c>
      <c r="L25" s="43" t="n">
        <v>76</v>
      </c>
      <c r="M25" s="47" t="n">
        <v>24900.85714285719</v>
      </c>
      <c r="N25" s="47" t="n">
        <v>364630.9542857143</v>
      </c>
      <c r="O25" s="47" t="n">
        <v>13096.42857142842</v>
      </c>
      <c r="P25" s="48" t="n">
        <v>0.02845677003786885</v>
      </c>
      <c r="Q25" s="47" t="n">
        <v>485122.7499999998</v>
      </c>
      <c r="R25" s="42" t="inlineStr">
        <is>
          <t>移动止盈</t>
        </is>
      </c>
      <c r="S25" s="47" t="n">
        <v>3151.285714285477</v>
      </c>
      <c r="T25" s="49" t="n">
        <v>0.9485590012622951</v>
      </c>
    </row>
    <row r="26">
      <c r="A26" s="50" t="n">
        <v>23</v>
      </c>
      <c r="B26" s="50" t="inlineStr">
        <is>
          <t>开多→平多</t>
        </is>
      </c>
      <c r="C26" s="50" t="inlineStr">
        <is>
          <t>2026-10-08 10:00:00</t>
        </is>
      </c>
      <c r="D26" s="50" t="inlineStr">
        <is>
          <t>2026-10-08 10:00:00</t>
        </is>
      </c>
      <c r="E26" s="51" t="n">
        <v>0</v>
      </c>
      <c r="F26" s="50" t="n">
        <v>7878.378571428571</v>
      </c>
      <c r="G26" s="50" t="n">
        <v>7828.557142857143</v>
      </c>
      <c r="H26" s="52" t="n">
        <v>39.85714285714285</v>
      </c>
      <c r="I26" s="53" t="n">
        <v>3.4</v>
      </c>
      <c r="J26" s="53" t="n">
        <v>-53.22142857142844</v>
      </c>
      <c r="K26" s="54" t="n">
        <v>-1.335304659498205</v>
      </c>
      <c r="L26" s="51" t="n">
        <v>58</v>
      </c>
      <c r="M26" s="55" t="n">
        <v>-15434.21428571425</v>
      </c>
      <c r="N26" s="55" t="n">
        <v>274167.5742857142</v>
      </c>
      <c r="O26" s="55" t="n">
        <v>14448.21428571425</v>
      </c>
      <c r="P26" s="56" t="n">
        <v>0.02978259478804953</v>
      </c>
      <c r="Q26" s="55" t="n">
        <v>469688.5357142855</v>
      </c>
      <c r="R26" s="50" t="inlineStr">
        <is>
          <t>初始止损</t>
        </is>
      </c>
      <c r="S26" s="55" t="n">
        <v>-9969.785714285699</v>
      </c>
      <c r="T26" s="57" t="n">
        <v>0.992753159601651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8" customWidth="1" min="4" max="4"/>
    <col width="8" customWidth="1" min="5" max="5"/>
    <col width="9" customWidth="1" min="6" max="6"/>
    <col width="9" customWidth="1" min="7" max="7"/>
    <col width="8" customWidth="1" min="8" max="8"/>
    <col width="9" customWidth="1" min="9" max="9"/>
    <col width="10" customWidth="1" min="10" max="10"/>
    <col width="10" customWidth="1" min="11" max="11"/>
    <col width="6" customWidth="1" min="12" max="12"/>
    <col width="12" customWidth="1" min="13" max="13"/>
    <col width="13" customWidth="1" min="14" max="14"/>
    <col width="12" customWidth="1" min="15" max="15"/>
    <col width="8" customWidth="1" min="16" max="16"/>
    <col width="13" customWidth="1" min="17" max="17"/>
    <col width="12" customWidth="1" min="18" max="18"/>
    <col width="13" customWidth="1" min="19" max="19"/>
    <col width="13" customWidth="1" min="20" max="20"/>
  </cols>
  <sheetData>
    <row r="1">
      <c r="A1" s="9" t="inlineStr">
        <is>
          <t>烧碱 逐笔明细（★推荐资金参数）· D 方案 3% · 60 分钟 ★优选</t>
        </is>
      </c>
    </row>
    <row r="2">
      <c r="A2" s="2" t="inlineStr">
        <is>
          <t>手数 = 按当时权益的 3% 风险预算 ÷ 每手风险，并受保证金上限 80% 约束</t>
        </is>
      </c>
    </row>
    <row r="3" ht="32" customHeight="1">
      <c r="A3" s="6" t="inlineStr">
        <is>
          <t>#</t>
        </is>
      </c>
      <c r="B3" s="6" t="inlineStr">
        <is>
          <t>方向(开→平)</t>
        </is>
      </c>
      <c r="C3" s="6" t="inlineStr">
        <is>
          <t>开仓时间</t>
        </is>
      </c>
      <c r="D3" s="6" t="inlineStr">
        <is>
          <t>平仓时间</t>
        </is>
      </c>
      <c r="E3" s="6" t="inlineStr">
        <is>
          <t>持仓K线</t>
        </is>
      </c>
      <c r="F3" s="6" t="inlineStr">
        <is>
          <t>开仓价</t>
        </is>
      </c>
      <c r="G3" s="6" t="inlineStr">
        <is>
          <t>平仓价</t>
        </is>
      </c>
      <c r="H3" s="6" t="inlineStr">
        <is>
          <t>WV(点)</t>
        </is>
      </c>
      <c r="I3" s="6" t="inlineStr">
        <is>
          <t>成本(点)</t>
        </is>
      </c>
      <c r="J3" s="6" t="inlineStr">
        <is>
          <t>净盈亏(点)</t>
        </is>
      </c>
      <c r="K3" s="6" t="inlineStr">
        <is>
          <t>净盈亏(R)</t>
        </is>
      </c>
      <c r="L3" s="6" t="inlineStr">
        <is>
          <t>手数</t>
        </is>
      </c>
      <c r="M3" s="6" t="inlineStr">
        <is>
          <t>实际盈亏(元)</t>
        </is>
      </c>
      <c r="N3" s="6" t="inlineStr">
        <is>
          <t>保证金占用(元)</t>
        </is>
      </c>
      <c r="O3" s="6" t="inlineStr">
        <is>
          <t>单笔风险(元)</t>
        </is>
      </c>
      <c r="P3" s="6" t="inlineStr">
        <is>
          <t>风险%</t>
        </is>
      </c>
      <c r="Q3" s="6" t="inlineStr">
        <is>
          <t>平仓后权益</t>
        </is>
      </c>
      <c r="R3" s="6" t="inlineStr">
        <is>
          <t>出场原因</t>
        </is>
      </c>
      <c r="S3" s="6" t="inlineStr">
        <is>
          <t>最大浮亏(元)</t>
        </is>
      </c>
      <c r="T3" s="6" t="inlineStr">
        <is>
          <t>风险预算利用率</t>
        </is>
      </c>
    </row>
    <row r="4">
      <c r="A4" s="50" t="n">
        <v>1</v>
      </c>
      <c r="B4" s="50" t="inlineStr">
        <is>
          <t>开多→平多</t>
        </is>
      </c>
      <c r="C4" s="50" t="inlineStr">
        <is>
          <t>2026-02-05 15:00:00</t>
        </is>
      </c>
      <c r="D4" s="50" t="inlineStr">
        <is>
          <t>2026-02-05 22:00:00</t>
        </is>
      </c>
      <c r="E4" s="51" t="n">
        <v>1</v>
      </c>
      <c r="F4" s="50" t="n">
        <v>2383.642857142857</v>
      </c>
      <c r="G4" s="50" t="n">
        <v>2370.428571428572</v>
      </c>
      <c r="H4" s="52" t="n">
        <v>10.57142857142857</v>
      </c>
      <c r="I4" s="53" t="n">
        <v>1.926221428571429</v>
      </c>
      <c r="J4" s="53" t="n">
        <v>-15.14050714285721</v>
      </c>
      <c r="K4" s="54" t="n">
        <v>-1.432210135135141</v>
      </c>
      <c r="L4" s="51" t="n">
        <v>22</v>
      </c>
      <c r="M4" s="55" t="n">
        <v>-9992.734714285758</v>
      </c>
      <c r="N4" s="55" t="n">
        <v>235980.6428571429</v>
      </c>
      <c r="O4" s="55" t="n">
        <v>8721.428571428614</v>
      </c>
      <c r="P4" s="56" t="n">
        <v>0.02907142857142872</v>
      </c>
      <c r="Q4" s="55" t="n">
        <v>290007.2652857142</v>
      </c>
      <c r="R4" s="50" t="inlineStr">
        <is>
          <t>初始止损</t>
        </is>
      </c>
      <c r="S4" s="55" t="n">
        <v>-8721.428571428614</v>
      </c>
      <c r="T4" s="57" t="n">
        <v>0.9690476190476239</v>
      </c>
    </row>
    <row r="5">
      <c r="A5" s="42" t="n">
        <v>2</v>
      </c>
      <c r="B5" s="42" t="inlineStr">
        <is>
          <t>开空→平空</t>
        </is>
      </c>
      <c r="C5" s="42" t="inlineStr">
        <is>
          <t>2026-02-12 22:00:00</t>
        </is>
      </c>
      <c r="D5" s="42" t="inlineStr">
        <is>
          <t>2026-02-12 23:00:00</t>
        </is>
      </c>
      <c r="E5" s="43" t="n">
        <v>1</v>
      </c>
      <c r="F5" s="42" t="n">
        <v>2395.028571428571</v>
      </c>
      <c r="G5" s="42" t="n">
        <v>2379.492857142857</v>
      </c>
      <c r="H5" s="44" t="n">
        <v>12.42857142857143</v>
      </c>
      <c r="I5" s="45" t="n">
        <v>1.932356428571429</v>
      </c>
      <c r="J5" s="45" t="n">
        <v>13.60335785714279</v>
      </c>
      <c r="K5" s="46" t="n">
        <v>1.094523045977006</v>
      </c>
      <c r="L5" s="43" t="n">
        <v>18</v>
      </c>
      <c r="M5" s="47" t="n">
        <v>7345.813242857109</v>
      </c>
      <c r="N5" s="47" t="n">
        <v>193997.3142857143</v>
      </c>
      <c r="O5" s="47" t="n">
        <v>8389.285714285679</v>
      </c>
      <c r="P5" s="48" t="n">
        <v>0.02892784670763534</v>
      </c>
      <c r="Q5" s="47" t="n">
        <v>297353.0785285714</v>
      </c>
      <c r="R5" s="42" t="inlineStr">
        <is>
          <t>移动止盈</t>
        </is>
      </c>
      <c r="S5" s="47" t="n">
        <v>-7004.571428571408</v>
      </c>
      <c r="T5" s="49" t="n">
        <v>0.9642615569211781</v>
      </c>
    </row>
    <row r="6">
      <c r="A6" s="50" t="n">
        <v>3</v>
      </c>
      <c r="B6" s="50" t="inlineStr">
        <is>
          <t>开多→平多</t>
        </is>
      </c>
      <c r="C6" s="50" t="inlineStr">
        <is>
          <t>2026-02-24 10:00:00</t>
        </is>
      </c>
      <c r="D6" s="50" t="inlineStr">
        <is>
          <t>2026-02-24 10:00:00</t>
        </is>
      </c>
      <c r="E6" s="51" t="n">
        <v>0</v>
      </c>
      <c r="F6" s="50" t="n">
        <v>2340.446428571428</v>
      </c>
      <c r="G6" s="50" t="n">
        <v>2319.821428571428</v>
      </c>
      <c r="H6" s="52" t="n">
        <v>16.5</v>
      </c>
      <c r="I6" s="53" t="n">
        <v>1.898080357142857</v>
      </c>
      <c r="J6" s="53" t="n">
        <v>-22.52308035714286</v>
      </c>
      <c r="K6" s="54" t="n">
        <v>-1.365035173160173</v>
      </c>
      <c r="L6" s="51" t="n">
        <v>14</v>
      </c>
      <c r="M6" s="55" t="n">
        <v>-9459.69375</v>
      </c>
      <c r="N6" s="55" t="n">
        <v>147448.125</v>
      </c>
      <c r="O6" s="55" t="n">
        <v>8662.5</v>
      </c>
      <c r="P6" s="56" t="n">
        <v>0.02913203402119026</v>
      </c>
      <c r="Q6" s="55" t="n">
        <v>287893.3847785714</v>
      </c>
      <c r="R6" s="50" t="inlineStr">
        <is>
          <t>初始止损</t>
        </is>
      </c>
      <c r="S6" s="55" t="n">
        <v>-8662.5</v>
      </c>
      <c r="T6" s="57" t="n">
        <v>0.9710678007063421</v>
      </c>
    </row>
    <row r="7">
      <c r="A7" s="42" t="n">
        <v>4</v>
      </c>
      <c r="B7" s="42" t="inlineStr">
        <is>
          <t>开空→平空</t>
        </is>
      </c>
      <c r="C7" s="42" t="inlineStr">
        <is>
          <t>2026-03-03 15:00:00</t>
        </is>
      </c>
      <c r="D7" s="42" t="inlineStr">
        <is>
          <t>2026-03-03 22:00:00</t>
        </is>
      </c>
      <c r="E7" s="43" t="n">
        <v>1</v>
      </c>
      <c r="F7" s="42" t="n">
        <v>2389.842857142857</v>
      </c>
      <c r="G7" s="42" t="n">
        <v>2347.878571428571</v>
      </c>
      <c r="H7" s="44" t="n">
        <v>16.78571428571428</v>
      </c>
      <c r="I7" s="45" t="n">
        <v>1.921316428571428</v>
      </c>
      <c r="J7" s="45" t="n">
        <v>40.04296928571435</v>
      </c>
      <c r="K7" s="46" t="n">
        <v>2.385538595744685</v>
      </c>
      <c r="L7" s="43" t="n">
        <v>13</v>
      </c>
      <c r="M7" s="47" t="n">
        <v>15616.7580214286</v>
      </c>
      <c r="N7" s="47" t="n">
        <v>139805.8071428571</v>
      </c>
      <c r="O7" s="47" t="n">
        <v>8183.035714285638</v>
      </c>
      <c r="P7" s="48" t="n">
        <v>0.02842384072346605</v>
      </c>
      <c r="Q7" s="47" t="n">
        <v>303510.1428</v>
      </c>
      <c r="R7" s="42" t="inlineStr">
        <is>
          <t>移动止盈</t>
        </is>
      </c>
      <c r="S7" s="47" t="n">
        <v>-451.2857142857092</v>
      </c>
      <c r="T7" s="49" t="n">
        <v>0.9474613574488684</v>
      </c>
    </row>
    <row r="8">
      <c r="A8" s="42" t="n">
        <v>5</v>
      </c>
      <c r="B8" s="42" t="inlineStr">
        <is>
          <t>开空→平空</t>
        </is>
      </c>
      <c r="C8" s="42" t="inlineStr">
        <is>
          <t>2026-03-05 10:00:00</t>
        </is>
      </c>
      <c r="D8" s="42" t="inlineStr">
        <is>
          <t>2026-03-05 11:15:00</t>
        </is>
      </c>
      <c r="E8" s="43" t="n">
        <v>1</v>
      </c>
      <c r="F8" s="42" t="n">
        <v>2396.407142857143</v>
      </c>
      <c r="G8" s="42" t="n">
        <v>2369.264285714286</v>
      </c>
      <c r="H8" s="44" t="n">
        <v>21.71428571428572</v>
      </c>
      <c r="I8" s="45" t="n">
        <v>1.929701428571429</v>
      </c>
      <c r="J8" s="45" t="n">
        <v>25.21315571428546</v>
      </c>
      <c r="K8" s="46" t="n">
        <v>1.16113217105262</v>
      </c>
      <c r="L8" s="43" t="n">
        <v>11</v>
      </c>
      <c r="M8" s="47" t="n">
        <v>8320.3413857142</v>
      </c>
      <c r="N8" s="47" t="n">
        <v>118622.1535714286</v>
      </c>
      <c r="O8" s="47" t="n">
        <v>8957.142857142921</v>
      </c>
      <c r="P8" s="48" t="n">
        <v>0.02951184027825156</v>
      </c>
      <c r="Q8" s="47" t="n">
        <v>311830.4841857142</v>
      </c>
      <c r="R8" s="42" t="inlineStr">
        <is>
          <t>移动止盈</t>
        </is>
      </c>
      <c r="S8" s="47" t="n">
        <v>-4485.642857142861</v>
      </c>
      <c r="T8" s="49" t="n">
        <v>0.983728009275052</v>
      </c>
    </row>
    <row r="9">
      <c r="A9" s="42" t="n">
        <v>6</v>
      </c>
      <c r="B9" s="42" t="inlineStr">
        <is>
          <t>开空→平空</t>
        </is>
      </c>
      <c r="C9" s="42" t="inlineStr">
        <is>
          <t>2026-03-20 22:00:00</t>
        </is>
      </c>
      <c r="D9" s="42" t="inlineStr">
        <is>
          <t>2026-03-20 23:00:00</t>
        </is>
      </c>
      <c r="E9" s="43" t="n">
        <v>1</v>
      </c>
      <c r="F9" s="42" t="n">
        <v>2563.053571428572</v>
      </c>
      <c r="G9" s="42" t="n">
        <v>2542.785714285715</v>
      </c>
      <c r="H9" s="44" t="n">
        <v>16.21428571428572</v>
      </c>
      <c r="I9" s="45" t="n">
        <v>2.031751785714285</v>
      </c>
      <c r="J9" s="45" t="n">
        <v>18.2361053571426</v>
      </c>
      <c r="K9" s="46" t="n">
        <v>1.124693722466944</v>
      </c>
      <c r="L9" s="43" t="n">
        <v>15</v>
      </c>
      <c r="M9" s="47" t="n">
        <v>8206.24741071417</v>
      </c>
      <c r="N9" s="47" t="n">
        <v>173006.1160714286</v>
      </c>
      <c r="O9" s="47" t="n">
        <v>9120.535714285801</v>
      </c>
      <c r="P9" s="48" t="n">
        <v>0.02924837748978373</v>
      </c>
      <c r="Q9" s="47" t="n">
        <v>320036.7315964283</v>
      </c>
      <c r="R9" s="42" t="inlineStr">
        <is>
          <t>移动止盈</t>
        </is>
      </c>
      <c r="S9" s="47" t="n">
        <v>-3125.892857142799</v>
      </c>
      <c r="T9" s="49" t="n">
        <v>0.9749459163261243</v>
      </c>
    </row>
    <row r="10">
      <c r="A10" s="50" t="n">
        <v>7</v>
      </c>
      <c r="B10" s="50" t="inlineStr">
        <is>
          <t>开多→平多</t>
        </is>
      </c>
      <c r="C10" s="50" t="inlineStr">
        <is>
          <t>2026-03-31 15:00:00</t>
        </is>
      </c>
      <c r="D10" s="50" t="inlineStr">
        <is>
          <t>2026-03-31 22:00:00</t>
        </is>
      </c>
      <c r="E10" s="51" t="n">
        <v>1</v>
      </c>
      <c r="F10" s="50" t="n">
        <v>2530.296428571428</v>
      </c>
      <c r="G10" s="50" t="n">
        <v>2510.653571428571</v>
      </c>
      <c r="H10" s="52" t="n">
        <v>15.71428571428571</v>
      </c>
      <c r="I10" s="53" t="n">
        <v>2.012284999999999</v>
      </c>
      <c r="J10" s="53" t="n">
        <v>-21.65514214285734</v>
      </c>
      <c r="K10" s="54" t="n">
        <v>-1.378054500000012</v>
      </c>
      <c r="L10" s="51" t="n">
        <v>16</v>
      </c>
      <c r="M10" s="55" t="n">
        <v>-10394.46822857152</v>
      </c>
      <c r="N10" s="55" t="n">
        <v>182181.3428571429</v>
      </c>
      <c r="O10" s="55" t="n">
        <v>9428.571428571522</v>
      </c>
      <c r="P10" s="56" t="n">
        <v>0.02946090400792216</v>
      </c>
      <c r="Q10" s="55" t="n">
        <v>309642.2633678568</v>
      </c>
      <c r="R10" s="50" t="inlineStr">
        <is>
          <t>初始止损</t>
        </is>
      </c>
      <c r="S10" s="55" t="n">
        <v>-6862.285714285608</v>
      </c>
      <c r="T10" s="57" t="n">
        <v>0.9820301335974052</v>
      </c>
    </row>
    <row r="11">
      <c r="A11" s="42" t="n">
        <v>8</v>
      </c>
      <c r="B11" s="42" t="inlineStr">
        <is>
          <t>开空→平空</t>
        </is>
      </c>
      <c r="C11" s="42" t="inlineStr">
        <is>
          <t>2026-04-20 22:00:00</t>
        </is>
      </c>
      <c r="D11" s="42" t="inlineStr">
        <is>
          <t>2026-04-20 23:00:00</t>
        </is>
      </c>
      <c r="E11" s="43" t="n">
        <v>1</v>
      </c>
      <c r="F11" s="42" t="n">
        <v>2375.767857142857</v>
      </c>
      <c r="G11" s="42" t="n">
        <v>2358.267857142857</v>
      </c>
      <c r="H11" s="44" t="n">
        <v>14</v>
      </c>
      <c r="I11" s="45" t="n">
        <v>1.920210714285714</v>
      </c>
      <c r="J11" s="45" t="n">
        <v>15.57978928571429</v>
      </c>
      <c r="K11" s="46" t="n">
        <v>1.112842091836735</v>
      </c>
      <c r="L11" s="43" t="n">
        <v>17</v>
      </c>
      <c r="M11" s="47" t="n">
        <v>7945.692535714285</v>
      </c>
      <c r="N11" s="47" t="n">
        <v>181746.2410714286</v>
      </c>
      <c r="O11" s="47" t="n">
        <v>8925</v>
      </c>
      <c r="P11" s="48" t="n">
        <v>0.02882358468422978</v>
      </c>
      <c r="Q11" s="47" t="n">
        <v>317587.9559035711</v>
      </c>
      <c r="R11" s="42" t="inlineStr">
        <is>
          <t>移动止盈</t>
        </is>
      </c>
      <c r="S11" s="47" t="n">
        <v>3961.607142857242</v>
      </c>
      <c r="T11" s="49" t="n">
        <v>0.9607861561409926</v>
      </c>
    </row>
    <row r="12">
      <c r="A12" s="50" t="n">
        <v>9</v>
      </c>
      <c r="B12" s="50" t="inlineStr">
        <is>
          <t>开多→平多</t>
        </is>
      </c>
      <c r="C12" s="50" t="inlineStr">
        <is>
          <t>2026-04-30 11:15:00</t>
        </is>
      </c>
      <c r="D12" s="50" t="inlineStr">
        <is>
          <t>2026-04-30 11:15:00</t>
        </is>
      </c>
      <c r="E12" s="51" t="n">
        <v>0</v>
      </c>
      <c r="F12" s="50" t="n">
        <v>2349.960714285714</v>
      </c>
      <c r="G12" s="50" t="n">
        <v>2335.496428571429</v>
      </c>
      <c r="H12" s="52" t="n">
        <v>11.57142857142857</v>
      </c>
      <c r="I12" s="53" t="n">
        <v>1.905637142857143</v>
      </c>
      <c r="J12" s="53" t="n">
        <v>-16.36992285714292</v>
      </c>
      <c r="K12" s="54" t="n">
        <v>-1.41468469135803</v>
      </c>
      <c r="L12" s="51" t="n">
        <v>21</v>
      </c>
      <c r="M12" s="55" t="n">
        <v>-10313.05140000004</v>
      </c>
      <c r="N12" s="55" t="n">
        <v>222071.2875</v>
      </c>
      <c r="O12" s="55" t="n">
        <v>9112.50000000004</v>
      </c>
      <c r="P12" s="56" t="n">
        <v>0.02869283872580754</v>
      </c>
      <c r="Q12" s="55" t="n">
        <v>307274.904503571</v>
      </c>
      <c r="R12" s="50" t="inlineStr">
        <is>
          <t>初始止损</t>
        </is>
      </c>
      <c r="S12" s="55" t="n">
        <v>-1235.250000000074</v>
      </c>
      <c r="T12" s="57" t="n">
        <v>0.9564279575269179</v>
      </c>
    </row>
    <row r="13">
      <c r="A13" s="42" t="n">
        <v>10</v>
      </c>
      <c r="B13" s="42" t="inlineStr">
        <is>
          <t>开多→平多</t>
        </is>
      </c>
      <c r="C13" s="42" t="inlineStr">
        <is>
          <t>2026-05-12 22:00:00</t>
        </is>
      </c>
      <c r="D13" s="42" t="inlineStr">
        <is>
          <t>2026-05-13 15:00:00</t>
        </is>
      </c>
      <c r="E13" s="43" t="n">
        <v>5</v>
      </c>
      <c r="F13" s="42" t="n">
        <v>2347.389285714286</v>
      </c>
      <c r="G13" s="42" t="n">
        <v>2360.157142857143</v>
      </c>
      <c r="H13" s="44" t="n">
        <v>10.21428571428571</v>
      </c>
      <c r="I13" s="45" t="n">
        <v>1.912263928571428</v>
      </c>
      <c r="J13" s="45" t="n">
        <v>10.85559321428545</v>
      </c>
      <c r="K13" s="46" t="n">
        <v>1.062785349650324</v>
      </c>
      <c r="L13" s="43" t="n">
        <v>23</v>
      </c>
      <c r="M13" s="47" t="n">
        <v>7490.359317856963</v>
      </c>
      <c r="N13" s="47" t="n">
        <v>242954.7910714286</v>
      </c>
      <c r="O13" s="47" t="n">
        <v>8809.821428571562</v>
      </c>
      <c r="P13" s="48" t="n">
        <v>0.02867081333180978</v>
      </c>
      <c r="Q13" s="47" t="n">
        <v>314765.263821428</v>
      </c>
      <c r="R13" s="42" t="inlineStr">
        <is>
          <t>移动止盈</t>
        </is>
      </c>
      <c r="S13" s="47" t="n">
        <v>-5788.607142857313</v>
      </c>
      <c r="T13" s="49" t="n">
        <v>0.9556937777269928</v>
      </c>
    </row>
    <row r="14">
      <c r="A14" s="42" t="n">
        <v>11</v>
      </c>
      <c r="B14" s="42" t="inlineStr">
        <is>
          <t>开空→平空</t>
        </is>
      </c>
      <c r="C14" s="42" t="inlineStr">
        <is>
          <t>2026-06-11 11:15:00</t>
        </is>
      </c>
      <c r="D14" s="42" t="inlineStr">
        <is>
          <t>2026-06-11 14:15:00</t>
        </is>
      </c>
      <c r="E14" s="43" t="n">
        <v>1</v>
      </c>
      <c r="F14" s="42" t="n">
        <v>2150.010714285714</v>
      </c>
      <c r="G14" s="42" t="n">
        <v>2109.475</v>
      </c>
      <c r="H14" s="44" t="n">
        <v>16.21428571428572</v>
      </c>
      <c r="I14" s="45" t="n">
        <v>1.777845714285714</v>
      </c>
      <c r="J14" s="45" t="n">
        <v>38.75786857142851</v>
      </c>
      <c r="K14" s="46" t="n">
        <v>2.3903531277533</v>
      </c>
      <c r="L14" s="43" t="n">
        <v>15</v>
      </c>
      <c r="M14" s="47" t="n">
        <v>17441.04085714283</v>
      </c>
      <c r="N14" s="47" t="n">
        <v>145125.7232142857</v>
      </c>
      <c r="O14" s="47" t="n">
        <v>9120.535714285801</v>
      </c>
      <c r="P14" s="48" t="n">
        <v>0.02897567413747422</v>
      </c>
      <c r="Q14" s="47" t="n">
        <v>332206.3046785708</v>
      </c>
      <c r="R14" s="42" t="inlineStr">
        <is>
          <t>移动止盈</t>
        </is>
      </c>
      <c r="S14" s="47" t="n">
        <v>1804.821428571358</v>
      </c>
      <c r="T14" s="49" t="n">
        <v>0.965855804582474</v>
      </c>
    </row>
    <row r="15">
      <c r="A15" s="42" t="n">
        <v>12</v>
      </c>
      <c r="B15" s="42" t="inlineStr">
        <is>
          <t>开多→平多</t>
        </is>
      </c>
      <c r="C15" s="42" t="inlineStr">
        <is>
          <t>2026-06-17 22:00:00</t>
        </is>
      </c>
      <c r="D15" s="42" t="inlineStr">
        <is>
          <t>2026-06-17 23:00:00</t>
        </is>
      </c>
      <c r="E15" s="43" t="n">
        <v>1</v>
      </c>
      <c r="F15" s="42" t="n">
        <v>2083.728571428572</v>
      </c>
      <c r="G15" s="42" t="n">
        <v>2104.800000000001</v>
      </c>
      <c r="H15" s="44" t="n">
        <v>16.85714285714286</v>
      </c>
      <c r="I15" s="45" t="n">
        <v>1.756558571428572</v>
      </c>
      <c r="J15" s="45" t="n">
        <v>19.31487000000033</v>
      </c>
      <c r="K15" s="46" t="n">
        <v>1.145797372881375</v>
      </c>
      <c r="L15" s="43" t="n">
        <v>15</v>
      </c>
      <c r="M15" s="47" t="n">
        <v>8691.691500000146</v>
      </c>
      <c r="N15" s="47" t="n">
        <v>140651.6785714286</v>
      </c>
      <c r="O15" s="47" t="n">
        <v>9482.142857142799</v>
      </c>
      <c r="P15" s="48" t="n">
        <v>0.02854293468727913</v>
      </c>
      <c r="Q15" s="47" t="n">
        <v>340897.996178571</v>
      </c>
      <c r="R15" s="42" t="inlineStr">
        <is>
          <t>移动止盈</t>
        </is>
      </c>
      <c r="S15" s="47" t="n">
        <v>6872.142857142717</v>
      </c>
      <c r="T15" s="49" t="n">
        <v>0.9514311562426377</v>
      </c>
    </row>
    <row r="16">
      <c r="A16" s="42" t="n">
        <v>13</v>
      </c>
      <c r="B16" s="42" t="inlineStr">
        <is>
          <t>开空→平空</t>
        </is>
      </c>
      <c r="C16" s="42" t="inlineStr">
        <is>
          <t>2026-07-08 10:00:00</t>
        </is>
      </c>
      <c r="D16" s="42" t="inlineStr">
        <is>
          <t>2026-07-08 11:15:00</t>
        </is>
      </c>
      <c r="E16" s="43" t="n">
        <v>1</v>
      </c>
      <c r="F16" s="42" t="n">
        <v>2004.735714285714</v>
      </c>
      <c r="G16" s="42" t="n">
        <v>1982.057142857143</v>
      </c>
      <c r="H16" s="44" t="n">
        <v>18.14285714285714</v>
      </c>
      <c r="I16" s="45" t="n">
        <v>1.696037857142857</v>
      </c>
      <c r="J16" s="45" t="n">
        <v>20.9825335714287</v>
      </c>
      <c r="K16" s="46" t="n">
        <v>1.156517598425204</v>
      </c>
      <c r="L16" s="43" t="n">
        <v>15</v>
      </c>
      <c r="M16" s="47" t="n">
        <v>9442.140107142915</v>
      </c>
      <c r="N16" s="47" t="n">
        <v>135319.6607142857</v>
      </c>
      <c r="O16" s="47" t="n">
        <v>10205.3571428571</v>
      </c>
      <c r="P16" s="48" t="n">
        <v>0.02993668856155809</v>
      </c>
      <c r="Q16" s="47" t="n">
        <v>350340.1362857139</v>
      </c>
      <c r="R16" s="42" t="inlineStr">
        <is>
          <t>移动止盈</t>
        </is>
      </c>
      <c r="S16" s="47" t="n">
        <v>-1918.92857142858</v>
      </c>
      <c r="T16" s="49" t="n">
        <v>0.9978896187186029</v>
      </c>
    </row>
    <row r="17">
      <c r="A17" s="50" t="n">
        <v>14</v>
      </c>
      <c r="B17" s="50" t="inlineStr">
        <is>
          <t>开多→平多</t>
        </is>
      </c>
      <c r="C17" s="50" t="inlineStr">
        <is>
          <t>2026-07-16 15:00:00</t>
        </is>
      </c>
      <c r="D17" s="50" t="inlineStr">
        <is>
          <t>2026-07-16 22:00:00</t>
        </is>
      </c>
      <c r="E17" s="51" t="n">
        <v>1</v>
      </c>
      <c r="F17" s="50" t="n">
        <v>1967.342857142857</v>
      </c>
      <c r="G17" s="50" t="n">
        <v>1946.182142857143</v>
      </c>
      <c r="H17" s="52" t="n">
        <v>16.92857142857143</v>
      </c>
      <c r="I17" s="53" t="n">
        <v>1.6740575</v>
      </c>
      <c r="J17" s="53" t="n">
        <v>-22.83477178571422</v>
      </c>
      <c r="K17" s="54" t="n">
        <v>-1.348889472573836</v>
      </c>
      <c r="L17" s="51" t="n">
        <v>16</v>
      </c>
      <c r="M17" s="55" t="n">
        <v>-10960.69045714283</v>
      </c>
      <c r="N17" s="55" t="n">
        <v>141648.6857142857</v>
      </c>
      <c r="O17" s="55" t="n">
        <v>10157.14285714283</v>
      </c>
      <c r="P17" s="56" t="n">
        <v>0.02899223299056818</v>
      </c>
      <c r="Q17" s="55" t="n">
        <v>339379.445828571</v>
      </c>
      <c r="R17" s="50" t="inlineStr">
        <is>
          <t>初始止损</t>
        </is>
      </c>
      <c r="S17" s="55" t="n">
        <v>-10157.14285714283</v>
      </c>
      <c r="T17" s="57" t="n">
        <v>0.9664077663522727</v>
      </c>
    </row>
    <row r="18">
      <c r="A18" s="42" t="n">
        <v>15</v>
      </c>
      <c r="B18" s="42" t="inlineStr">
        <is>
          <t>开多→平多</t>
        </is>
      </c>
      <c r="C18" s="42" t="inlineStr">
        <is>
          <t>2026-07-28 11:15:00</t>
        </is>
      </c>
      <c r="D18" s="42" t="inlineStr">
        <is>
          <t>2026-07-28 23:00:00</t>
        </is>
      </c>
      <c r="E18" s="43" t="n">
        <v>4</v>
      </c>
      <c r="F18" s="42" t="n">
        <v>1883.217857142857</v>
      </c>
      <c r="G18" s="42" t="n">
        <v>1904.110714285714</v>
      </c>
      <c r="H18" s="44" t="n">
        <v>16.71428571428572</v>
      </c>
      <c r="I18" s="45" t="n">
        <v>1.636198571428571</v>
      </c>
      <c r="J18" s="45" t="n">
        <v>19.25665857142854</v>
      </c>
      <c r="K18" s="46" t="n">
        <v>1.152107777777776</v>
      </c>
      <c r="L18" s="43" t="n">
        <v>16</v>
      </c>
      <c r="M18" s="47" t="n">
        <v>9243.196114285698</v>
      </c>
      <c r="N18" s="47" t="n">
        <v>135591.6857142857</v>
      </c>
      <c r="O18" s="47" t="n">
        <v>10028.57142857141</v>
      </c>
      <c r="P18" s="48" t="n">
        <v>0.02954973128701817</v>
      </c>
      <c r="Q18" s="47" t="n">
        <v>348622.6419428567</v>
      </c>
      <c r="R18" s="42" t="inlineStr">
        <is>
          <t>移动止盈</t>
        </is>
      </c>
      <c r="S18" s="47" t="n">
        <v>-104.5714285714348</v>
      </c>
      <c r="T18" s="49" t="n">
        <v>0.9849910429006056</v>
      </c>
    </row>
    <row r="19">
      <c r="A19" s="42" t="n">
        <v>16</v>
      </c>
      <c r="B19" s="42" t="inlineStr">
        <is>
          <t>开空→平空</t>
        </is>
      </c>
      <c r="C19" s="42" t="inlineStr">
        <is>
          <t>2026-08-06 11:15:00</t>
        </is>
      </c>
      <c r="D19" s="42" t="inlineStr">
        <is>
          <t>2026-08-06 14:15:00</t>
        </is>
      </c>
      <c r="E19" s="43" t="n">
        <v>1</v>
      </c>
      <c r="F19" s="42" t="n">
        <v>1894.317857142857</v>
      </c>
      <c r="G19" s="42" t="n">
        <v>1880.121428571429</v>
      </c>
      <c r="H19" s="44" t="n">
        <v>11.35714285714286</v>
      </c>
      <c r="I19" s="45" t="n">
        <v>1.632331785714286</v>
      </c>
      <c r="J19" s="45" t="n">
        <v>12.56409678571416</v>
      </c>
      <c r="K19" s="46" t="n">
        <v>1.106272672955963</v>
      </c>
      <c r="L19" s="43" t="n">
        <v>24</v>
      </c>
      <c r="M19" s="47" t="n">
        <v>9046.149685714192</v>
      </c>
      <c r="N19" s="47" t="n">
        <v>204586.3285714285</v>
      </c>
      <c r="O19" s="47" t="n">
        <v>10221.42857142864</v>
      </c>
      <c r="P19" s="48" t="n">
        <v>0.02931946277059093</v>
      </c>
      <c r="Q19" s="47" t="n">
        <v>357668.7916285709</v>
      </c>
      <c r="R19" s="42" t="inlineStr">
        <is>
          <t>移动止盈</t>
        </is>
      </c>
      <c r="S19" s="47" t="n">
        <v>-491.1428571429133</v>
      </c>
      <c r="T19" s="49" t="n">
        <v>0.9773154256863644</v>
      </c>
    </row>
    <row r="20">
      <c r="A20" s="42" t="n">
        <v>17</v>
      </c>
      <c r="B20" s="42" t="inlineStr">
        <is>
          <t>开空→平空</t>
        </is>
      </c>
      <c r="C20" s="42" t="inlineStr">
        <is>
          <t>2026-08-18 11:15:00</t>
        </is>
      </c>
      <c r="D20" s="42" t="inlineStr">
        <is>
          <t>2026-08-18 14:15:00</t>
        </is>
      </c>
      <c r="E20" s="43" t="n">
        <v>1</v>
      </c>
      <c r="F20" s="42" t="n">
        <v>1928.964285714286</v>
      </c>
      <c r="G20" s="42" t="n">
        <v>1907.982142857143</v>
      </c>
      <c r="H20" s="44" t="n">
        <v>16.78571428571428</v>
      </c>
      <c r="I20" s="45" t="n">
        <v>1.651083928571428</v>
      </c>
      <c r="J20" s="45" t="n">
        <v>19.33105892857146</v>
      </c>
      <c r="K20" s="46" t="n">
        <v>1.151637553191492</v>
      </c>
      <c r="L20" s="43" t="n">
        <v>17</v>
      </c>
      <c r="M20" s="47" t="n">
        <v>9858.840053571445</v>
      </c>
      <c r="N20" s="47" t="n">
        <v>147565.7678571429</v>
      </c>
      <c r="O20" s="47" t="n">
        <v>10700.89285714287</v>
      </c>
      <c r="P20" s="48" t="n">
        <v>0.02991844160743957</v>
      </c>
      <c r="Q20" s="47" t="n">
        <v>367527.6316821424</v>
      </c>
      <c r="R20" s="42" t="inlineStr">
        <is>
          <t>移动止盈</t>
        </is>
      </c>
      <c r="S20" s="47" t="n">
        <v>-3078.214285714253</v>
      </c>
      <c r="T20" s="49" t="n">
        <v>0.9972813869146525</v>
      </c>
    </row>
    <row r="21">
      <c r="A21" s="42" t="n">
        <v>18</v>
      </c>
      <c r="B21" s="42" t="inlineStr">
        <is>
          <t>开多→平多</t>
        </is>
      </c>
      <c r="C21" s="42" t="inlineStr">
        <is>
          <t>2026-08-27 10:00:00</t>
        </is>
      </c>
      <c r="D21" s="42" t="inlineStr">
        <is>
          <t>2026-08-27 11:15:00</t>
        </is>
      </c>
      <c r="E21" s="43" t="n">
        <v>1</v>
      </c>
      <c r="F21" s="42" t="n">
        <v>1892.125</v>
      </c>
      <c r="G21" s="42" t="n">
        <v>1912.482142857143</v>
      </c>
      <c r="H21" s="44" t="n">
        <v>16.28571428571428</v>
      </c>
      <c r="I21" s="45" t="n">
        <v>1.641382142857143</v>
      </c>
      <c r="J21" s="45" t="n">
        <v>18.71576071428575</v>
      </c>
      <c r="K21" s="46" t="n">
        <v>1.149213377192984</v>
      </c>
      <c r="L21" s="43" t="n">
        <v>18</v>
      </c>
      <c r="M21" s="47" t="n">
        <v>10106.5107857143</v>
      </c>
      <c r="N21" s="47" t="n">
        <v>153262.125</v>
      </c>
      <c r="O21" s="47" t="n">
        <v>10992.85714285716</v>
      </c>
      <c r="P21" s="48" t="n">
        <v>0.02991028754094977</v>
      </c>
      <c r="Q21" s="47" t="n">
        <v>377634.1424678567</v>
      </c>
      <c r="R21" s="42" t="inlineStr">
        <is>
          <t>移动止盈</t>
        </is>
      </c>
      <c r="S21" s="47" t="n">
        <v>-3847.5</v>
      </c>
      <c r="T21" s="49" t="n">
        <v>0.9970095846983257</v>
      </c>
    </row>
    <row r="22">
      <c r="A22" s="42" t="n">
        <v>19</v>
      </c>
      <c r="B22" s="42" t="inlineStr">
        <is>
          <t>开空→平空</t>
        </is>
      </c>
      <c r="C22" s="42" t="inlineStr">
        <is>
          <t>2026-09-04 14:15:00</t>
        </is>
      </c>
      <c r="D22" s="42" t="inlineStr">
        <is>
          <t>2026-09-04 15:00:00</t>
        </is>
      </c>
      <c r="E22" s="43" t="n">
        <v>1</v>
      </c>
      <c r="F22" s="42" t="n">
        <v>1946.15</v>
      </c>
      <c r="G22" s="42" t="n">
        <v>1906.864285714286</v>
      </c>
      <c r="H22" s="44" t="n">
        <v>15.71428571428571</v>
      </c>
      <c r="I22" s="45" t="n">
        <v>1.655904285714286</v>
      </c>
      <c r="J22" s="45" t="n">
        <v>37.62980999999994</v>
      </c>
      <c r="K22" s="46" t="n">
        <v>2.394624272727269</v>
      </c>
      <c r="L22" s="43" t="n">
        <v>19</v>
      </c>
      <c r="M22" s="47" t="n">
        <v>21448.99169999996</v>
      </c>
      <c r="N22" s="47" t="n">
        <v>166395.825</v>
      </c>
      <c r="O22" s="47" t="n">
        <v>11196.42857142855</v>
      </c>
      <c r="P22" s="48" t="n">
        <v>0.02964887787491716</v>
      </c>
      <c r="Q22" s="47" t="n">
        <v>399083.1341678567</v>
      </c>
      <c r="R22" s="42" t="inlineStr">
        <is>
          <t>移动止盈</t>
        </is>
      </c>
      <c r="S22" s="47" t="n">
        <v>6925.500000000052</v>
      </c>
      <c r="T22" s="49" t="n">
        <v>0.9882959291639054</v>
      </c>
    </row>
    <row r="23">
      <c r="A23" s="50" t="n">
        <v>20</v>
      </c>
      <c r="B23" s="50" t="inlineStr">
        <is>
          <t>开多→平多</t>
        </is>
      </c>
      <c r="C23" s="50" t="inlineStr">
        <is>
          <t>2026-09-14 14:15:00</t>
        </is>
      </c>
      <c r="D23" s="50" t="inlineStr">
        <is>
          <t>2026-09-23 22:00:00</t>
        </is>
      </c>
      <c r="E23" s="51" t="n">
        <v>44</v>
      </c>
      <c r="F23" s="50" t="n">
        <v>1888.678571428571</v>
      </c>
      <c r="G23" s="50" t="n">
        <v>1861.089285714286</v>
      </c>
      <c r="H23" s="52" t="n">
        <v>22.07142857142857</v>
      </c>
      <c r="I23" s="53" t="n">
        <v>1.624930357142857</v>
      </c>
      <c r="J23" s="53" t="n">
        <v>-29.21421607142864</v>
      </c>
      <c r="K23" s="54" t="n">
        <v>-1.323621440129453</v>
      </c>
      <c r="L23" s="51" t="n">
        <v>14</v>
      </c>
      <c r="M23" s="55" t="n">
        <v>-12269.97075000003</v>
      </c>
      <c r="N23" s="55" t="n">
        <v>118986.75</v>
      </c>
      <c r="O23" s="55" t="n">
        <v>11587.50000000003</v>
      </c>
      <c r="P23" s="56" t="n">
        <v>0.02903530369470903</v>
      </c>
      <c r="Q23" s="55" t="n">
        <v>386813.1634178566</v>
      </c>
      <c r="R23" s="50" t="inlineStr">
        <is>
          <t>初始止损</t>
        </is>
      </c>
      <c r="S23" s="55" t="n">
        <v>-10784.99999999996</v>
      </c>
      <c r="T23" s="57" t="n">
        <v>0.967843456490301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9" t="inlineStr">
        <is>
          <t>月度收益（★推荐资金参数）· 各自独立 30 万</t>
        </is>
      </c>
    </row>
    <row r="2" ht="32" customHeight="1">
      <c r="A2" s="6" t="inlineStr">
        <is>
          <t>月份</t>
        </is>
      </c>
      <c r="B2" s="6" t="inlineStr">
        <is>
          <t>纯碱</t>
        </is>
      </c>
      <c r="C2" s="6" t="inlineStr">
        <is>
          <t>红枣</t>
        </is>
      </c>
      <c r="D2" s="6" t="inlineStr">
        <is>
          <t>花生</t>
        </is>
      </c>
      <c r="E2" s="6" t="inlineStr">
        <is>
          <t>烧碱</t>
        </is>
      </c>
    </row>
    <row r="3">
      <c r="A3" s="10" t="inlineStr">
        <is>
          <t>2025-12</t>
        </is>
      </c>
      <c r="B3" s="58" t="n"/>
      <c r="C3" s="58" t="n"/>
      <c r="D3" s="58" t="n">
        <v>0.04297619047619006</v>
      </c>
      <c r="E3" s="58" t="n"/>
    </row>
    <row r="4">
      <c r="A4" s="10" t="inlineStr">
        <is>
          <t>2026-01</t>
        </is>
      </c>
      <c r="B4" s="58" t="n"/>
      <c r="C4" s="58" t="n"/>
      <c r="D4" s="58" t="n">
        <v>0.06162218924780394</v>
      </c>
      <c r="E4" s="58" t="n"/>
    </row>
    <row r="5">
      <c r="A5" s="10" t="inlineStr">
        <is>
          <t>2026-02</t>
        </is>
      </c>
      <c r="B5" s="58" t="n">
        <v>-0.005265618761904789</v>
      </c>
      <c r="C5" s="58" t="n">
        <v>0.0486941071428566</v>
      </c>
      <c r="D5" s="58" t="n">
        <v>-0.02507861628458019</v>
      </c>
      <c r="E5" s="58" t="n">
        <v>-0.0403553840714288</v>
      </c>
    </row>
    <row r="6">
      <c r="A6" s="10" t="inlineStr">
        <is>
          <t>2026-03</t>
        </is>
      </c>
      <c r="B6" s="58" t="n">
        <v>0.01950670295630785</v>
      </c>
      <c r="C6" s="58" t="n">
        <v>0.05780568020510302</v>
      </c>
      <c r="D6" s="58" t="n">
        <v>0.03837214598451921</v>
      </c>
      <c r="E6" s="58" t="n">
        <v>0.07554490564628025</v>
      </c>
    </row>
    <row r="7">
      <c r="A7" s="10" t="inlineStr">
        <is>
          <t>2026-04</t>
        </is>
      </c>
      <c r="B7" s="58" t="n">
        <v>0.0470605016983574</v>
      </c>
      <c r="C7" s="58" t="n">
        <v>0.02710017473788717</v>
      </c>
      <c r="D7" s="58" t="n">
        <v>0.04595487279942834</v>
      </c>
      <c r="E7" s="58" t="n">
        <v>-0.007645464280414793</v>
      </c>
    </row>
    <row r="8">
      <c r="A8" s="10" t="inlineStr">
        <is>
          <t>2026-05</t>
        </is>
      </c>
      <c r="B8" s="58" t="n">
        <v>-0.06437546606525313</v>
      </c>
      <c r="C8" s="58" t="n">
        <v>-0.004300542845644739</v>
      </c>
      <c r="D8" s="58" t="n"/>
      <c r="E8" s="58" t="n">
        <v>0.02437673629728487</v>
      </c>
    </row>
    <row r="9">
      <c r="A9" s="10" t="inlineStr">
        <is>
          <t>2026-06</t>
        </is>
      </c>
      <c r="B9" s="58" t="n">
        <v>0.08228290015593309</v>
      </c>
      <c r="C9" s="58" t="n">
        <v>-0.03065414331270067</v>
      </c>
      <c r="D9" s="58" t="n">
        <v>0.1451436975528846</v>
      </c>
      <c r="E9" s="58" t="n">
        <v>0.08302292330442329</v>
      </c>
    </row>
    <row r="10">
      <c r="A10" s="10" t="inlineStr">
        <is>
          <t>2026-07</t>
        </is>
      </c>
      <c r="B10" s="58" t="n">
        <v>0.05299440895031848</v>
      </c>
      <c r="C10" s="58" t="n">
        <v>0.0563986720630838</v>
      </c>
      <c r="D10" s="58" t="n">
        <v>0.02754541586885018</v>
      </c>
      <c r="E10" s="58" t="n">
        <v>0.022659698358096</v>
      </c>
    </row>
    <row r="11">
      <c r="A11" s="10" t="inlineStr">
        <is>
          <t>2026-08</t>
        </is>
      </c>
      <c r="B11" s="58" t="n">
        <v>0.07482526796902378</v>
      </c>
      <c r="C11" s="58" t="n"/>
      <c r="D11" s="58" t="n">
        <v>0.05759500476082979</v>
      </c>
      <c r="E11" s="58" t="n">
        <v>0.08321748800743499</v>
      </c>
    </row>
    <row r="12">
      <c r="A12" s="10" t="inlineStr">
        <is>
          <t>2026-09</t>
        </is>
      </c>
      <c r="B12" s="58" t="n">
        <v>0.1471422419254651</v>
      </c>
      <c r="C12" s="58" t="n"/>
      <c r="D12" s="58" t="n">
        <v>0.1083323956776843</v>
      </c>
      <c r="E12" s="58" t="n">
        <v>0.02430665005556598</v>
      </c>
    </row>
    <row r="13">
      <c r="A13" s="10" t="inlineStr">
        <is>
          <t>2026-10</t>
        </is>
      </c>
      <c r="B13" s="58" t="n">
        <v>0.05684646967743401</v>
      </c>
      <c r="C13" s="58" t="n"/>
      <c r="D13" s="58" t="n">
        <v>-0.03181507007394369</v>
      </c>
      <c r="E13" s="58" t="n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</cols>
  <sheetData>
    <row r="1">
      <c r="A1" s="9" t="inlineStr">
        <is>
          <t>参数速查（与指标文件赢益共振_v9.XTRD 一致）</t>
        </is>
      </c>
    </row>
    <row r="2" ht="32" customHeight="1">
      <c r="A2" s="6" t="inlineStr">
        <is>
          <t>参数</t>
        </is>
      </c>
      <c r="B2" s="6" t="inlineStr">
        <is>
          <t>值</t>
        </is>
      </c>
      <c r="C2" s="6" t="inlineStr">
        <is>
          <t>含义</t>
        </is>
      </c>
    </row>
    <row r="3">
      <c r="A3" s="10" t="inlineStr">
        <is>
          <t>KB</t>
        </is>
      </c>
      <c r="B3" s="11" t="n">
        <v>2.5</v>
      </c>
      <c r="C3" s="11" t="inlineStr">
        <is>
          <t>低阈博反弹的阈值系数</t>
        </is>
      </c>
    </row>
    <row r="4">
      <c r="A4" s="10" t="inlineStr">
        <is>
          <t>SW0</t>
        </is>
      </c>
      <c r="B4" s="11" t="n">
        <v>1.25</v>
      </c>
      <c r="C4" s="11" t="inlineStr">
        <is>
          <t>初始止损 = SW0 × ATR</t>
        </is>
      </c>
    </row>
    <row r="5">
      <c r="A5" s="10" t="inlineStr">
        <is>
          <t>TGTW</t>
        </is>
      </c>
      <c r="B5" s="11" t="n">
        <v>3</v>
      </c>
      <c r="C5" s="11" t="inlineStr">
        <is>
          <t>目标位 = TGTW × 初始风险</t>
        </is>
      </c>
    </row>
    <row r="6">
      <c r="A6" s="10" t="inlineStr">
        <is>
          <t>DYNM</t>
        </is>
      </c>
      <c r="B6" s="11" t="n">
        <v>1</v>
      </c>
      <c r="C6" s="11" t="inlineStr">
        <is>
          <t>动态止损开关（1=开）</t>
        </is>
      </c>
    </row>
    <row r="7">
      <c r="A7" s="10" t="inlineStr">
        <is>
          <t>LSTP</t>
        </is>
      </c>
      <c r="B7" s="11" t="n">
        <v>1</v>
      </c>
      <c r="C7" s="11" t="inlineStr">
        <is>
          <t>移动止盈的锁定系数</t>
        </is>
      </c>
    </row>
    <row r="8">
      <c r="A8" s="10" t="inlineStr">
        <is>
          <t>GATEW</t>
        </is>
      </c>
      <c r="B8" s="11" t="n">
        <v>0</v>
      </c>
      <c r="C8" s="11" t="inlineStr">
        <is>
          <t>成本闸门（0 = 关闭，恒开闸）</t>
        </is>
      </c>
    </row>
    <row r="9">
      <c r="A9" s="10" t="inlineStr">
        <is>
          <t>滑点</t>
        </is>
      </c>
      <c r="B9" s="11" t="n">
        <v>0.5</v>
      </c>
      <c r="C9" s="11" t="inlineStr">
        <is>
          <t>出场滑点（跳）：开仓 0 / 止损与移动止盈 0.5 / 到达目标 0</t>
        </is>
      </c>
    </row>
    <row r="10">
      <c r="A10" s="10" t="inlineStr">
        <is>
          <t>NMID</t>
        </is>
      </c>
      <c r="B10" s="11" t="n">
        <v>40</v>
      </c>
      <c r="C10" s="11" t="inlineStr">
        <is>
          <t>均线参照周期（60 分钟）</t>
        </is>
      </c>
    </row>
    <row r="11">
      <c r="A11" s="10" t="inlineStr">
        <is>
          <t>NAV</t>
        </is>
      </c>
      <c r="B11" s="11" t="n">
        <v>14</v>
      </c>
      <c r="C11" s="11" t="inlineStr">
        <is>
          <t>波动参照周期</t>
        </is>
      </c>
    </row>
    <row r="12">
      <c r="A12" s="10" t="inlineStr">
        <is>
          <t>RISK</t>
        </is>
      </c>
      <c r="B12" s="11" t="n">
        <v>0.03</v>
      </c>
      <c r="C12" s="11" t="inlineStr">
        <is>
          <t>单笔风险预算 = 当时权益 × 3%（D 方案）</t>
        </is>
      </c>
    </row>
    <row r="13">
      <c r="A13" s="10" t="inlineStr">
        <is>
          <t>MGTOT</t>
        </is>
      </c>
      <c r="B13" s="11" t="n">
        <v>0.8</v>
      </c>
      <c r="C13" s="11" t="inlineStr">
        <is>
          <t>单笔保证金占用上限 = 权益 × 80%</t>
        </is>
      </c>
    </row>
    <row r="14">
      <c r="A14" s="10" t="inlineStr">
        <is>
          <t>MAXLOT</t>
        </is>
      </c>
      <c r="B14" s="11" t="n">
        <v>100</v>
      </c>
      <c r="C14" s="11" t="inlineStr">
        <is>
          <t>单笔最大手数</t>
        </is>
      </c>
    </row>
    <row r="15">
      <c r="A15" s="10" t="inlineStr">
        <is>
          <t>COMPOUND</t>
        </is>
      </c>
      <c r="B15" s="11" t="inlineStr">
        <is>
          <t>True</t>
        </is>
      </c>
      <c r="C15" s="11" t="inlineStr">
        <is>
          <t>复利：风险预算按当时权益计算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</cols>
  <sheetData>
    <row r="1">
      <c r="A1" s="9" t="inlineStr">
        <is>
          <t>数据区间</t>
        </is>
      </c>
    </row>
    <row r="2" ht="32" customHeight="1">
      <c r="A2" s="6" t="inlineStr">
        <is>
          <t>品种</t>
        </is>
      </c>
      <c r="B2" s="6" t="inlineStr">
        <is>
          <t>主力合约</t>
        </is>
      </c>
      <c r="C2" s="6" t="inlineStr">
        <is>
          <t>K线根数</t>
        </is>
      </c>
      <c r="D2" s="6" t="inlineStr">
        <is>
          <t>区间</t>
        </is>
      </c>
    </row>
    <row r="3">
      <c r="A3" s="10" t="inlineStr">
        <is>
          <t>纯碱</t>
        </is>
      </c>
      <c r="B3" s="11" t="inlineStr">
        <is>
          <t>SA2701</t>
        </is>
      </c>
      <c r="C3" s="17" t="n">
        <v>1023</v>
      </c>
      <c r="D3" s="11" t="inlineStr">
        <is>
          <t>2026-01-19~2026-10-09</t>
        </is>
      </c>
    </row>
    <row r="4">
      <c r="A4" s="10" t="inlineStr">
        <is>
          <t>红枣</t>
        </is>
      </c>
      <c r="B4" s="11" t="inlineStr">
        <is>
          <t>CJ2701</t>
        </is>
      </c>
      <c r="C4" s="17" t="n">
        <v>692</v>
      </c>
      <c r="D4" s="11" t="inlineStr">
        <is>
          <t>2026-01-19~2026-10-09</t>
        </is>
      </c>
    </row>
    <row r="5">
      <c r="A5" s="10" t="inlineStr">
        <is>
          <t>花生</t>
        </is>
      </c>
      <c r="B5" s="11" t="inlineStr">
        <is>
          <t>PK2611</t>
        </is>
      </c>
      <c r="C5" s="17" t="n">
        <v>841</v>
      </c>
      <c r="D5" s="11" t="inlineStr">
        <is>
          <t>2025-11-17~2026-10-09</t>
        </is>
      </c>
    </row>
    <row r="6">
      <c r="A6" s="10" t="inlineStr">
        <is>
          <t>烧碱</t>
        </is>
      </c>
      <c r="B6" s="11" t="inlineStr">
        <is>
          <t>SH2611</t>
        </is>
      </c>
      <c r="C6" s="17" t="n">
        <v>1023</v>
      </c>
      <c r="D6" s="11" t="inlineStr">
        <is>
          <t>2026-01-16~2026-10-09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2026-10-11T14:33:33Z</dcterms:created>
  <dcterms:modified xmlns:dcterms="http://purl.org/dc/terms/" xmlns:xsi="http://www.w3.org/2001/XMLSchema-instance" xsi:type="dcterms:W3CDTF">2026-10-11T14:33:33Z</dcterms:modified>
</cp:coreProperties>
</file>